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coder-Track2" sheetId="1" state="visible" r:id="rId1"/>
    <sheet xmlns:r="http://schemas.openxmlformats.org/officeDocument/2006/relationships" name="VQ-Transmit-Track2" sheetId="2" state="visible" r:id="rId2"/>
    <sheet xmlns:r="http://schemas.openxmlformats.org/officeDocument/2006/relationships" name="VQ-Receive-Track2" sheetId="3" state="visible" r:id="rId3"/>
    <sheet xmlns:r="http://schemas.openxmlformats.org/officeDocument/2006/relationships" name="Decoder-Track2" sheetId="4" state="visible" r:id="rId4"/>
    <sheet xmlns:r="http://schemas.openxmlformats.org/officeDocument/2006/relationships" name="Summary-Track2" sheetId="5" state="visible" r:id="rId5"/>
  </sheets>
  <definedNames>
    <definedName name="_xlnm._FilterDatabase" localSheetId="0" hidden="1">'Encoder-Track2'!$A$19:$V$36</definedName>
    <definedName name="_xlnm._FilterDatabase" localSheetId="3" hidden="1">'Decoder-Track2'!$A$19:$V$36</definedName>
  </definedNames>
  <calcPr calcId="124519" calcMode="auto" fullCalcOnLoad="1" forceFullCalc="1"/>
</workbook>
</file>

<file path=xl/styles.xml><?xml version="1.0" encoding="utf-8"?>
<styleSheet xmlns="http://schemas.openxmlformats.org/spreadsheetml/2006/main">
  <numFmts count="1">
    <numFmt numFmtId="164" formatCode="0.0000"/>
  </numFmts>
  <fonts count="4">
    <font>
      <name val="Calibri"/>
      <family val="2"/>
      <color theme="1"/>
      <sz val="11"/>
      <scheme val="minor"/>
    </font>
    <font>
      <b val="1"/>
      <color rgb="00FFFFFF"/>
      <sz val="16"/>
    </font>
    <font>
      <b val="1"/>
    </font>
    <font>
      <b val="1"/>
      <color rgb="00FFFFFF"/>
    </font>
  </fonts>
  <fills count="6">
    <fill>
      <patternFill/>
    </fill>
    <fill>
      <patternFill patternType="gray125"/>
    </fill>
    <fill>
      <patternFill patternType="solid">
        <fgColor rgb="001F4E78"/>
      </patternFill>
    </fill>
    <fill>
      <patternFill patternType="solid">
        <fgColor rgb="00D9EAF7"/>
      </patternFill>
    </fill>
    <fill>
      <patternFill patternType="solid">
        <fgColor rgb="00EAF3F8"/>
      </patternFill>
    </fill>
    <fill>
      <patternFill patternType="solid">
        <fgColor rgb="00E2F0D9"/>
      </patternFill>
    </fill>
  </fills>
  <borders count="3">
    <border>
      <left/>
      <right/>
      <top/>
      <bottom/>
      <diagonal/>
    </border>
    <border>
      <left style="thin">
        <color rgb="00B7B7B7"/>
      </left>
      <right style="thin">
        <color rgb="00B7B7B7"/>
      </right>
      <top style="thin">
        <color rgb="00B7B7B7"/>
      </top>
      <bottom style="thin">
        <color rgb="00B7B7B7"/>
      </bottom>
    </border>
    <border>
      <bottom style="thin">
        <color rgb="00B7B7B7"/>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xf>
    <xf numFmtId="0" fontId="2" fillId="3" borderId="1" pivotButton="0" quotePrefix="0" xfId="0"/>
    <xf numFmtId="0" fontId="0" fillId="4" borderId="1" pivotButton="0" quotePrefix="0" xfId="0"/>
    <xf numFmtId="0" fontId="0" fillId="4" borderId="0" applyAlignment="1" pivotButton="0" quotePrefix="0" xfId="0">
      <alignment vertical="top" wrapText="1"/>
    </xf>
    <xf numFmtId="0" fontId="3" fillId="2" borderId="1" applyAlignment="1" pivotButton="0" quotePrefix="0" xfId="0">
      <alignment vertical="center" wrapText="1"/>
    </xf>
    <xf numFmtId="0" fontId="0" fillId="4" borderId="1" applyAlignment="1" pivotButton="0" quotePrefix="0" xfId="0">
      <alignment vertical="center" wrapText="1"/>
    </xf>
    <xf numFmtId="3" fontId="0" fillId="4" borderId="1" applyAlignment="1" pivotButton="0" quotePrefix="0" xfId="0">
      <alignment vertical="center" wrapText="1"/>
    </xf>
    <xf numFmtId="164" fontId="0" fillId="4" borderId="1" applyAlignment="1" pivotButton="0" quotePrefix="0" xfId="0">
      <alignment vertical="center" wrapText="1"/>
    </xf>
    <xf numFmtId="0" fontId="0" fillId="0" borderId="1" applyAlignment="1" pivotButton="0" quotePrefix="0" xfId="0">
      <alignment vertical="center" wrapText="1"/>
    </xf>
    <xf numFmtId="3" fontId="0" fillId="0" borderId="1" applyAlignment="1" pivotButton="0" quotePrefix="0" xfId="0">
      <alignment vertical="center" wrapText="1"/>
    </xf>
    <xf numFmtId="164" fontId="0" fillId="0" borderId="1" applyAlignment="1" pivotButton="0" quotePrefix="0" xfId="0">
      <alignment vertical="center" wrapText="1"/>
    </xf>
    <xf numFmtId="0" fontId="2" fillId="5" borderId="1" applyAlignment="1" pivotButton="0" quotePrefix="0" xfId="0">
      <alignment vertical="center" wrapText="1"/>
    </xf>
    <xf numFmtId="0" fontId="2" fillId="3" borderId="1" applyAlignment="1" pivotButton="0" quotePrefix="0" xfId="0">
      <alignment vertical="center" wrapText="1"/>
    </xf>
    <xf numFmtId="0" fontId="3" fillId="2" borderId="0" pivotButton="0" quotePrefix="0" xfId="0"/>
    <xf numFmtId="164" fontId="2" fillId="4" borderId="1" applyAlignment="1" pivotButton="0" quotePrefix="0" xfId="0">
      <alignment vertical="center"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LRAC 2</author>
  </authors>
  <commentList>
    <comment ref="S20" authorId="0" shapeId="0">
      <text>
        <t>The first term reads the runtime state and the second term writes it. The access counts come from cells B17 and B18.</t>
      </text>
    </comment>
    <comment ref="L21" authorId="0" shapeId="0">
      <text>
        <t>Includes Encoder input LayerNorm scale and bias. The additive term in this formula is 2 × model channels per LayerNorm.</t>
      </text>
    </comment>
    <comment ref="L22" authorId="0" shapeId="0">
      <text>
        <t>Includes ConvNeXt LayerNorm scale and bias. The additive term in this formula is 2 × model channels per LayerNorm.</t>
      </text>
    </comment>
    <comment ref="S22" authorId="0" shapeId="0">
      <text>
        <t>The first term reads the runtime state and the second term writes it. The access counts come from cells B17 and B18.</t>
      </text>
    </comment>
    <comment ref="L25" authorId="0" shapeId="0">
      <text>
        <t>Includes PosNet residual-block norm1 scale and bias. The additive term in this formula is 2 × model channels per LayerNorm.</t>
      </text>
    </comment>
    <comment ref="S25" authorId="0" shapeId="0">
      <text>
        <t>The first term reads the runtime state and the second term writes it. The access counts come from cells B17 and B18.</t>
      </text>
    </comment>
    <comment ref="L26" authorId="0" shapeId="0">
      <text>
        <t>Includes PosNet residual-block norm2 scale and bias. The additive term in this formula is 2 × model channels per LayerNorm.</t>
      </text>
    </comment>
    <comment ref="S26" authorId="0" shapeId="0">
      <text>
        <t>The first term reads the runtime state and the second term writes it. The access counts come from cells B17 and B18.</t>
      </text>
    </comment>
    <comment ref="L27" authorId="0" shapeId="0">
      <text>
        <t>Includes Attention input LayerNorm scale and bias. The additive term in this formula is 2 × model channels per LayerNorm.</t>
      </text>
    </comment>
    <comment ref="S28" authorId="0" shapeId="0">
      <text>
        <t>The inverse-frequency vector is derived rather than learned and does not count toward the parameter cap. It is read once per attention invocation; the generated sine/cosine values are retained and reused for both query and key rotation.</t>
      </text>
    </comment>
    <comment ref="S31" authorId="0" shapeId="0">
      <text>
        <t>The first term reads the key cache for the previous/lookahead frames; the second writes the current key. Attention context includes the current frame.</t>
      </text>
    </comment>
    <comment ref="S32" authorId="0" shapeId="0">
      <text>
        <t>The first term reads the value cache for the previous/lookahead frames; the second writes the current value. Attention context includes the current frame.</t>
      </text>
    </comment>
    <comment ref="L34" authorId="0" shapeId="0">
      <text>
        <t>Includes PosNet residual-block norm1 scale and bias. The additive term in this formula is 2 × model channels per LayerNorm.</t>
      </text>
    </comment>
    <comment ref="S34" authorId="0" shapeId="0">
      <text>
        <t>The first term reads the runtime state and the second term writes it. The access counts come from cells B17 and B18.</t>
      </text>
    </comment>
    <comment ref="L35" authorId="0" shapeId="0">
      <text>
        <t>Includes PosNet residual-block norm2 scale and bias. The additive term in this formula is 2 × model channels per LayerNorm.</t>
      </text>
    </comment>
    <comment ref="S35" authorId="0" shapeId="0">
      <text>
        <t>The first term reads the runtime state and the second term writes it. The access counts come from cells B17 and B18.</t>
      </text>
    </comment>
    <comment ref="L36" authorId="0" shapeId="0">
      <text>
        <t>Includes PosNet output LayerNorm scale and bias. The additive term in this formula is 2 × model channels per LayerNorm.</t>
      </text>
    </comment>
    <comment ref="S36" authorId="0" shapeId="0">
      <text>
        <t>The first term reads the runtime state and the second term writes it. The access counts come from cells B17 and B18.</t>
      </text>
    </comment>
  </commentList>
</comments>
</file>

<file path=xl/comments/comment2.xml><?xml version="1.0" encoding="utf-8"?>
<comments xmlns="http://schemas.openxmlformats.org/spreadsheetml/2006/main">
  <authors>
    <author>LRAC 2</author>
  </authors>
  <commentList>
    <comment ref="S20" authorId="0" shapeId="0">
      <text>
        <t>The first term reads the runtime state and the second term writes it. The access counts come from cells B17 and B18.</t>
      </text>
    </comment>
    <comment ref="S21" authorId="0" shapeId="0">
      <text>
        <t>The first term reads the runtime state and the second term writes it. The access counts come from cells B17 and B18.</t>
      </text>
    </comment>
    <comment ref="L22" authorId="0" shapeId="0">
      <text>
        <t>Includes PosNet residual-block norm1 scale and bias. The additive term in this formula is 2 × model channels per LayerNorm.</t>
      </text>
    </comment>
    <comment ref="S22" authorId="0" shapeId="0">
      <text>
        <t>The first term reads the runtime state and the second term writes it. The access counts come from cells B17 and B18.</t>
      </text>
    </comment>
    <comment ref="L23" authorId="0" shapeId="0">
      <text>
        <t>Includes PosNet residual-block norm2 scale and bias. The additive term in this formula is 2 × model channels per LayerNorm.</t>
      </text>
    </comment>
    <comment ref="S23" authorId="0" shapeId="0">
      <text>
        <t>The first term reads the runtime state and the second term writes it. The access counts come from cells B17 and B18.</t>
      </text>
    </comment>
    <comment ref="L24" authorId="0" shapeId="0">
      <text>
        <t>Includes Attention input LayerNorm scale and bias. The additive term in this formula is 2 × model channels per LayerNorm.</t>
      </text>
    </comment>
    <comment ref="S25" authorId="0" shapeId="0">
      <text>
        <t>The inverse-frequency vector is derived rather than learned and does not count toward the parameter cap. It is read once per attention invocation; the generated sine/cosine values are retained and reused for both query and key rotation.</t>
      </text>
    </comment>
    <comment ref="S28" authorId="0" shapeId="0">
      <text>
        <t>The first term reads the key cache for the previous/lookahead frames; the second writes the current key. Attention context includes the current frame.</t>
      </text>
    </comment>
    <comment ref="S29" authorId="0" shapeId="0">
      <text>
        <t>The first term reads the value cache for the previous/lookahead frames; the second writes the current value. Attention context includes the current frame.</t>
      </text>
    </comment>
    <comment ref="L31" authorId="0" shapeId="0">
      <text>
        <t>Includes PosNet residual-block norm1 scale and bias. The additive term in this formula is 2 × model channels per LayerNorm.</t>
      </text>
    </comment>
    <comment ref="S31" authorId="0" shapeId="0">
      <text>
        <t>The first term reads the runtime state and the second term writes it. The access counts come from cells B17 and B18.</t>
      </text>
    </comment>
    <comment ref="L32" authorId="0" shapeId="0">
      <text>
        <t>Includes PosNet residual-block norm2 scale and bias. The additive term in this formula is 2 × model channels per LayerNorm.</t>
      </text>
    </comment>
    <comment ref="S32" authorId="0" shapeId="0">
      <text>
        <t>The first term reads the runtime state and the second term writes it. The access counts come from cells B17 and B18.</t>
      </text>
    </comment>
    <comment ref="L33" authorId="0" shapeId="0">
      <text>
        <t>Includes ConvNeXt LayerNorm scale and bias. The additive term in this formula is 2 × model channels per LayerNorm.</t>
      </text>
    </comment>
    <comment ref="S33" authorId="0" shapeId="0">
      <text>
        <t>The first term reads the runtime state and the second term writes it. The access counts come from cells B17 and B18.</t>
      </text>
    </comment>
    <comment ref="L36" authorId="0" shapeId="0">
      <text>
        <t>Includes PosNet output LayerNorm and decoder output LayerNorm scales and biases. The additive term in this formula is 2 × model channels per LayerNorm.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fitToPage="1"/>
  </sheetPr>
  <dimension ref="A1:V41"/>
  <sheetViews>
    <sheetView zoomScale="70" workbookViewId="0">
      <pane ySplit="19" topLeftCell="A20" activePane="bottomLeft" state="frozen"/>
      <selection pane="bottomLeft" activeCell="A1" sqref="A1"/>
    </sheetView>
  </sheetViews>
  <sheetFormatPr baseColWidth="8" defaultRowHeight="15"/>
  <cols>
    <col width="31" customWidth="1" min="1" max="1"/>
    <col width="32" customWidth="1" min="2" max="2"/>
    <col width="10" customWidth="1" min="3" max="3"/>
    <col width="38" customWidth="1" min="4" max="4"/>
    <col width="17" customWidth="1" min="5" max="5"/>
    <col width="10" customWidth="1" min="6" max="6"/>
    <col width="14" customWidth="1" min="7" max="7"/>
    <col width="15" customWidth="1" min="8" max="8"/>
    <col width="15" customWidth="1" min="9" max="9"/>
    <col width="22" customWidth="1" min="10" max="10"/>
    <col width="13" customWidth="1" min="11" max="11"/>
    <col width="22" customWidth="1" min="12" max="12"/>
    <col width="21" customWidth="1" min="13" max="13"/>
    <col width="16" customWidth="1" min="14" max="14"/>
    <col width="17" customWidth="1" min="15" max="15"/>
    <col width="19" customWidth="1" min="16" max="16"/>
    <col width="21" customWidth="1" min="17" max="17"/>
    <col width="22" customWidth="1" min="18" max="18"/>
    <col width="28" customWidth="1" min="19" max="19"/>
    <col width="22" customWidth="1" min="20" max="20"/>
    <col width="26" customWidth="1" min="21" max="21"/>
    <col width="19" customWidth="1" min="22" max="22"/>
  </cols>
  <sheetData>
    <row r="1" ht="25" customHeight="1">
      <c r="A1" s="1" t="inlineStr">
        <is>
          <t>VoCodec Encoder — 100 Hz / 24-layer / RoPE / 1.5M cap</t>
        </is>
      </c>
    </row>
    <row r="2">
      <c r="A2" s="2" t="inlineStr">
        <is>
          <t>Sampling rate (Hz)</t>
        </is>
      </c>
      <c r="B2" s="3" t="n">
        <v>24000</v>
      </c>
      <c r="D2" s="4" t="inlineStr">
        <is>
          <t>Computations only include MAC-bearing operations. The first STFT/ISTFT row has zero counted MACs but explicitly accounts for its persistent window and streaming overlap state. LayerNorm arithmetic is omitted, while each LayerNorm's scale and bias values are included in column L through the +2*$B$6 terms; +4*$B$6 includes two LayerNorms. Hover over those cells for the exact association. Activations, residual additions, dropout, softmax, and FFT arithmetic are omitted under the LRAC sheet convention. Overall Stride in B5 drives compute, field-of-view, and memory-bandwidth formulas. Channel dimensions are centralized in B6:B9, and bounded attention and RoPE settings are centralized in B10:B14. Bytes per value and runtime state read/write assumptions are centralized in B16:B18. The layer table references those cells. All totals derive only from visible formulas.</t>
        </is>
      </c>
    </row>
    <row r="3">
      <c r="A3" s="2" t="inlineStr">
        <is>
          <t>STFT window / FFT size (samples)</t>
        </is>
      </c>
      <c r="B3" s="3" t="n">
        <v>720</v>
      </c>
    </row>
    <row r="4">
      <c r="A4" s="2" t="inlineStr">
        <is>
          <t>STFT hop (samples)</t>
        </is>
      </c>
      <c r="B4" s="3" t="n">
        <v>240</v>
      </c>
    </row>
    <row r="5">
      <c r="A5" s="2" t="inlineStr">
        <is>
          <t>Overall Stride (sampling rate / STFT hop)</t>
        </is>
      </c>
      <c r="B5" s="3">
        <f>B2/B4</f>
        <v/>
      </c>
    </row>
    <row r="6">
      <c r="A6" s="2" t="inlineStr">
        <is>
          <t>Model channels</t>
        </is>
      </c>
      <c r="B6" s="3" t="n">
        <v>112</v>
      </c>
    </row>
    <row r="7">
      <c r="A7" s="2" t="inlineStr">
        <is>
          <t>Encoder ConvNeXt expansion channels</t>
        </is>
      </c>
      <c r="B7" s="3" t="n">
        <v>128</v>
      </c>
    </row>
    <row r="8">
      <c r="A8" s="2" t="inlineStr">
        <is>
          <t>Attention QKV channels</t>
        </is>
      </c>
      <c r="B8" s="3">
        <f>3*B6</f>
        <v/>
      </c>
    </row>
    <row r="9">
      <c r="A9" s="2" t="inlineStr">
        <is>
          <t>Complex STFT feature channels</t>
        </is>
      </c>
      <c r="B9" s="3">
        <f>2*(B3/2+1)</f>
        <v/>
      </c>
    </row>
    <row r="10">
      <c r="A10" s="2" t="inlineStr">
        <is>
          <t>Attention context (frames, current included)</t>
        </is>
      </c>
      <c r="B10" s="3" t="n">
        <v>300</v>
      </c>
    </row>
    <row r="11">
      <c r="A11" s="2" t="inlineStr">
        <is>
          <t>Attention lookahead (frames)</t>
        </is>
      </c>
      <c r="B11" s="3" t="n">
        <v>0</v>
      </c>
    </row>
    <row r="12">
      <c r="A12" s="2" t="inlineStr">
        <is>
          <t>Attention heads</t>
        </is>
      </c>
      <c r="B12" s="3" t="n">
        <v>4</v>
      </c>
    </row>
    <row r="13">
      <c r="A13" s="2" t="inlineStr">
        <is>
          <t>Attention uses RoPE</t>
        </is>
      </c>
      <c r="B13" s="3" t="b">
        <v>1</v>
      </c>
    </row>
    <row r="14">
      <c r="A14" s="2" t="inlineStr">
        <is>
          <t>RoPE rotary dimensions / head</t>
        </is>
      </c>
      <c r="B14" s="3" t="n">
        <v>28</v>
      </c>
    </row>
    <row r="15">
      <c r="A15" s="2" t="inlineStr">
        <is>
          <t>Frame-hop buffering latency (ms)</t>
        </is>
      </c>
      <c r="B15" s="3">
        <f>$B$4/$B$2*1000</f>
        <v/>
      </c>
    </row>
    <row r="16">
      <c r="A16" s="2" t="inlineStr">
        <is>
          <t>Bytes per parameter/buffer value</t>
        </is>
      </c>
      <c r="B16" s="3" t="n">
        <v>2</v>
      </c>
    </row>
    <row r="17">
      <c r="A17" s="2" t="inlineStr">
        <is>
          <t>Runtime state reads per call</t>
        </is>
      </c>
      <c r="B17" s="3" t="n">
        <v>1</v>
      </c>
    </row>
    <row r="18">
      <c r="A18" s="2" t="inlineStr">
        <is>
          <t>Runtime state writes per call</t>
        </is>
      </c>
      <c r="B18" s="3" t="n">
        <v>1</v>
      </c>
    </row>
    <row r="19" ht="58" customHeight="1">
      <c r="A19" s="5" t="inlineStr">
        <is>
          <t>Layer Name</t>
        </is>
      </c>
      <c r="B19" s="5" t="inlineStr">
        <is>
          <t>Block ID</t>
        </is>
      </c>
      <c r="C19" s="5" t="inlineStr">
        <is>
          <t># Blocks</t>
        </is>
      </c>
      <c r="D19" s="5" t="inlineStr">
        <is>
          <t>Operation</t>
        </is>
      </c>
      <c r="E19" s="5" t="inlineStr">
        <is>
          <t>Kernel / Context</t>
        </is>
      </c>
      <c r="F19" s="5" t="inlineStr">
        <is>
          <t>Dilation</t>
        </is>
      </c>
      <c r="G19" s="5" t="inlineStr">
        <is>
          <t>Input Channels</t>
        </is>
      </c>
      <c r="H19" s="5" t="inlineStr">
        <is>
          <t>Output Channels</t>
        </is>
      </c>
      <c r="I19" s="5" t="inlineStr">
        <is>
          <t>Groups / Heads</t>
        </is>
      </c>
      <c r="J19" s="5" t="inlineStr">
        <is>
          <t>MAC / Position / Block</t>
        </is>
      </c>
      <c r="K19" s="5" t="inlineStr">
        <is>
          <t>MMAC/s</t>
        </is>
      </c>
      <c r="L19" s="5" t="inlineStr">
        <is>
          <t>Trainable Params / Block</t>
        </is>
      </c>
      <c r="M19" s="5" t="inlineStr">
        <is>
          <t>Total Trainable Params</t>
        </is>
      </c>
      <c r="N19" s="5" t="inlineStr">
        <is>
          <t>FOV Left / Block</t>
        </is>
      </c>
      <c r="O19" s="5" t="inlineStr">
        <is>
          <t>FOV Right / Block</t>
        </is>
      </c>
      <c r="P19" s="5" t="inlineStr">
        <is>
          <t>Total FOV Left (ms)</t>
        </is>
      </c>
      <c r="Q19" s="5" t="inlineStr">
        <is>
          <t>Algorithmic Latency (ms)</t>
        </is>
      </c>
      <c r="R19" s="5" t="inlineStr">
        <is>
          <t>Parameter-Cap Values / Block</t>
        </is>
      </c>
      <c r="S19" s="5" t="inlineStr">
        <is>
          <t>Runtime State/Cache Accesses (R+W) / Call / Block</t>
        </is>
      </c>
      <c r="T19" s="5" t="inlineStr">
        <is>
          <t>Model-Params BW Total (MB/s)</t>
        </is>
      </c>
      <c r="U19" s="5" t="inlineStr">
        <is>
          <t>State/Cache BW Total (MB/s)</t>
        </is>
      </c>
      <c r="V19" s="5" t="inlineStr">
        <is>
          <t>Total BW (MB/s)</t>
        </is>
      </c>
    </row>
    <row r="20">
      <c r="A20" s="6" t="inlineStr">
        <is>
          <t>STFT analysis window and overlap state</t>
        </is>
      </c>
      <c r="B20" s="6" t="inlineStr">
        <is>
          <t>STFT analysis</t>
        </is>
      </c>
      <c r="C20" s="6" t="n">
        <v>1</v>
      </c>
      <c r="D20" s="6" t="inlineStr">
        <is>
          <t>Persistent window and streaming state; FFT MACs excluded</t>
        </is>
      </c>
      <c r="E20" s="6">
        <f>$B$3</f>
        <v/>
      </c>
      <c r="F20" s="6" t="n">
        <v>1</v>
      </c>
      <c r="G20" s="6" t="n">
        <v>1</v>
      </c>
      <c r="H20" s="6" t="n">
        <v>1</v>
      </c>
      <c r="I20" s="6" t="n">
        <v>1</v>
      </c>
      <c r="J20" s="7" t="n">
        <v>0</v>
      </c>
      <c r="K20" s="8">
        <f>C20*$B$5*J20/10^6</f>
        <v/>
      </c>
      <c r="L20" s="7" t="n">
        <v>0</v>
      </c>
      <c r="M20" s="7">
        <f>C20*L20</f>
        <v/>
      </c>
      <c r="N20" s="6">
        <f>($B$3-$B$4)/2</f>
        <v/>
      </c>
      <c r="O20" s="6">
        <f>($B$3-$B$4)/2</f>
        <v/>
      </c>
      <c r="P20" s="8">
        <f>C20*N20/$B$2*1000</f>
        <v/>
      </c>
      <c r="Q20" s="8">
        <f>C20*O20/$B$2*1000</f>
        <v/>
      </c>
      <c r="R20" s="7">
        <f>$B$3</f>
        <v/>
      </c>
      <c r="S20" s="7">
        <f>$B$17*($B$3-$B$4)+$B$18*($B$3-$B$4)</f>
        <v/>
      </c>
      <c r="T20" s="8">
        <f>C20*$B$5*$B$16*R20/10^6</f>
        <v/>
      </c>
      <c r="U20" s="8">
        <f>C20*$B$5*$B$16*S20/10^6</f>
        <v/>
      </c>
      <c r="V20" s="8">
        <f>SUM(T20:U20)</f>
        <v/>
      </c>
    </row>
    <row r="21">
      <c r="A21" s="9" t="inlineStr">
        <is>
          <t>STFT feature projection</t>
        </is>
      </c>
      <c r="B21" s="9" t="inlineStr">
        <is>
          <t>Encoder input</t>
        </is>
      </c>
      <c r="C21" s="9" t="n">
        <v>1</v>
      </c>
      <c r="D21" s="9" t="inlineStr">
        <is>
          <t>Conv1d / linear projection</t>
        </is>
      </c>
      <c r="E21" s="9" t="n">
        <v>1</v>
      </c>
      <c r="F21" s="9" t="n">
        <v>1</v>
      </c>
      <c r="G21" s="9">
        <f>$B$9</f>
        <v/>
      </c>
      <c r="H21" s="9">
        <f>$B$6</f>
        <v/>
      </c>
      <c r="I21" s="9" t="n">
        <v>1</v>
      </c>
      <c r="J21" s="10">
        <f>E21*G21*H21/I21</f>
        <v/>
      </c>
      <c r="K21" s="11">
        <f>C21*$B$5*J21/10^6</f>
        <v/>
      </c>
      <c r="L21" s="10">
        <f>J21+H21+2*$B$6</f>
        <v/>
      </c>
      <c r="M21" s="10">
        <f>C21*L21</f>
        <v/>
      </c>
      <c r="N21" s="9" t="n">
        <v>0</v>
      </c>
      <c r="O21" s="9" t="n">
        <v>0</v>
      </c>
      <c r="P21" s="11">
        <f>C21*N21/$B$5*1000</f>
        <v/>
      </c>
      <c r="Q21" s="11">
        <f>C21*O21/$B$5*1000</f>
        <v/>
      </c>
      <c r="R21" s="10">
        <f>L21</f>
        <v/>
      </c>
      <c r="S21" s="10" t="n">
        <v>0</v>
      </c>
      <c r="T21" s="11">
        <f>C21*$B$5*$B$16*R21/10^6</f>
        <v/>
      </c>
      <c r="U21" s="11">
        <f>C21*$B$5*$B$16*S21/10^6</f>
        <v/>
      </c>
      <c r="V21" s="11">
        <f>SUM(T21:U21)</f>
        <v/>
      </c>
    </row>
    <row r="22" outlineLevel="1">
      <c r="A22" s="6" t="inlineStr">
        <is>
          <t>Depthwise convolution</t>
        </is>
      </c>
      <c r="B22" s="6" t="inlineStr">
        <is>
          <t>ConvNeXt blocks 1–6</t>
        </is>
      </c>
      <c r="C22" s="6" t="n">
        <v>6</v>
      </c>
      <c r="D22" s="6" t="inlineStr">
        <is>
          <t>Causal Conv1d</t>
        </is>
      </c>
      <c r="E22" s="6" t="n">
        <v>7</v>
      </c>
      <c r="F22" s="6" t="n">
        <v>1</v>
      </c>
      <c r="G22" s="6">
        <f>$B$6</f>
        <v/>
      </c>
      <c r="H22" s="6">
        <f>$B$6</f>
        <v/>
      </c>
      <c r="I22" s="6">
        <f>$B$6</f>
        <v/>
      </c>
      <c r="J22" s="7">
        <f>E22*G22*H22/I22</f>
        <v/>
      </c>
      <c r="K22" s="8">
        <f>C22*$B$5*J22/10^6</f>
        <v/>
      </c>
      <c r="L22" s="7">
        <f>J22+H22+2*$B$6</f>
        <v/>
      </c>
      <c r="M22" s="7">
        <f>C22*L22</f>
        <v/>
      </c>
      <c r="N22" s="6" t="n">
        <v>6</v>
      </c>
      <c r="O22" s="6" t="n">
        <v>0</v>
      </c>
      <c r="P22" s="8">
        <f>C22*N22/$B$5*1000</f>
        <v/>
      </c>
      <c r="Q22" s="8">
        <f>C22*O22/$B$5*1000</f>
        <v/>
      </c>
      <c r="R22" s="7">
        <f>L22</f>
        <v/>
      </c>
      <c r="S22" s="7">
        <f>$B$17*(E22-1)*F22*G22+$B$18*(E22-1)*F22*G22</f>
        <v/>
      </c>
      <c r="T22" s="8">
        <f>C22*$B$5*$B$16*R22/10^6</f>
        <v/>
      </c>
      <c r="U22" s="8">
        <f>C22*$B$5*$B$16*S22/10^6</f>
        <v/>
      </c>
      <c r="V22" s="8">
        <f>SUM(T22:U22)</f>
        <v/>
      </c>
    </row>
    <row r="23" outlineLevel="1">
      <c r="A23" s="6" t="inlineStr">
        <is>
          <t>Pointwise input projection</t>
        </is>
      </c>
      <c r="B23" s="6" t="inlineStr">
        <is>
          <t>ConvNeXt blocks 1–6</t>
        </is>
      </c>
      <c r="C23" s="6" t="n">
        <v>6</v>
      </c>
      <c r="D23" s="6" t="inlineStr">
        <is>
          <t>Conv1d / linear projection</t>
        </is>
      </c>
      <c r="E23" s="6" t="n">
        <v>1</v>
      </c>
      <c r="F23" s="6" t="n">
        <v>1</v>
      </c>
      <c r="G23" s="6">
        <f>$B$6</f>
        <v/>
      </c>
      <c r="H23" s="6">
        <f>$B$7</f>
        <v/>
      </c>
      <c r="I23" s="6" t="n">
        <v>1</v>
      </c>
      <c r="J23" s="7">
        <f>E23*G23*H23/I23</f>
        <v/>
      </c>
      <c r="K23" s="8">
        <f>C23*$B$5*J23/10^6</f>
        <v/>
      </c>
      <c r="L23" s="7">
        <f>J23+H23+0</f>
        <v/>
      </c>
      <c r="M23" s="7">
        <f>C23*L23</f>
        <v/>
      </c>
      <c r="N23" s="6" t="n">
        <v>0</v>
      </c>
      <c r="O23" s="6" t="n">
        <v>0</v>
      </c>
      <c r="P23" s="8">
        <f>C23*N23/$B$5*1000</f>
        <v/>
      </c>
      <c r="Q23" s="8">
        <f>C23*O23/$B$5*1000</f>
        <v/>
      </c>
      <c r="R23" s="7">
        <f>L23</f>
        <v/>
      </c>
      <c r="S23" s="7" t="n">
        <v>0</v>
      </c>
      <c r="T23" s="8">
        <f>C23*$B$5*$B$16*R23/10^6</f>
        <v/>
      </c>
      <c r="U23" s="8">
        <f>C23*$B$5*$B$16*S23/10^6</f>
        <v/>
      </c>
      <c r="V23" s="8">
        <f>SUM(T23:U23)</f>
        <v/>
      </c>
    </row>
    <row r="24" outlineLevel="1">
      <c r="A24" s="6" t="inlineStr">
        <is>
          <t>Pointwise output projection</t>
        </is>
      </c>
      <c r="B24" s="6" t="inlineStr">
        <is>
          <t>ConvNeXt blocks 1–6</t>
        </is>
      </c>
      <c r="C24" s="6" t="n">
        <v>6</v>
      </c>
      <c r="D24" s="6" t="inlineStr">
        <is>
          <t>Conv1d / linear projection</t>
        </is>
      </c>
      <c r="E24" s="6" t="n">
        <v>1</v>
      </c>
      <c r="F24" s="6" t="n">
        <v>1</v>
      </c>
      <c r="G24" s="6">
        <f>$B$7</f>
        <v/>
      </c>
      <c r="H24" s="6">
        <f>$B$6</f>
        <v/>
      </c>
      <c r="I24" s="6" t="n">
        <v>1</v>
      </c>
      <c r="J24" s="7">
        <f>E24*G24*H24/I24</f>
        <v/>
      </c>
      <c r="K24" s="8">
        <f>C24*$B$5*J24/10^6</f>
        <v/>
      </c>
      <c r="L24" s="7">
        <f>J24+H24+0</f>
        <v/>
      </c>
      <c r="M24" s="7">
        <f>C24*L24</f>
        <v/>
      </c>
      <c r="N24" s="6" t="n">
        <v>0</v>
      </c>
      <c r="O24" s="6" t="n">
        <v>0</v>
      </c>
      <c r="P24" s="8">
        <f>C24*N24/$B$5*1000</f>
        <v/>
      </c>
      <c r="Q24" s="8">
        <f>C24*O24/$B$5*1000</f>
        <v/>
      </c>
      <c r="R24" s="7">
        <f>L24</f>
        <v/>
      </c>
      <c r="S24" s="7" t="n">
        <v>0</v>
      </c>
      <c r="T24" s="8">
        <f>C24*$B$5*$B$16*R24/10^6</f>
        <v/>
      </c>
      <c r="U24" s="8">
        <f>C24*$B$5*$B$16*S24/10^6</f>
        <v/>
      </c>
      <c r="V24" s="8">
        <f>SUM(T24:U24)</f>
        <v/>
      </c>
    </row>
    <row r="25" outlineLevel="1">
      <c r="A25" s="9" t="inlineStr">
        <is>
          <t>Residual convolution 1</t>
        </is>
      </c>
      <c r="B25" s="9" t="inlineStr">
        <is>
          <t>PosNet ResNet blocks 1–2</t>
        </is>
      </c>
      <c r="C25" s="9" t="n">
        <v>2</v>
      </c>
      <c r="D25" s="9" t="inlineStr">
        <is>
          <t>Causal Conv1d</t>
        </is>
      </c>
      <c r="E25" s="9" t="n">
        <v>3</v>
      </c>
      <c r="F25" s="9" t="n">
        <v>1</v>
      </c>
      <c r="G25" s="9">
        <f>$B$6</f>
        <v/>
      </c>
      <c r="H25" s="9">
        <f>$B$6</f>
        <v/>
      </c>
      <c r="I25" s="9" t="n">
        <v>1</v>
      </c>
      <c r="J25" s="10">
        <f>E25*G25*H25/I25</f>
        <v/>
      </c>
      <c r="K25" s="11">
        <f>C25*$B$5*J25/10^6</f>
        <v/>
      </c>
      <c r="L25" s="10">
        <f>J25+H25+2*$B$6</f>
        <v/>
      </c>
      <c r="M25" s="10">
        <f>C25*L25</f>
        <v/>
      </c>
      <c r="N25" s="9" t="n">
        <v>2</v>
      </c>
      <c r="O25" s="9" t="n">
        <v>0</v>
      </c>
      <c r="P25" s="11">
        <f>C25*N25/$B$5*1000</f>
        <v/>
      </c>
      <c r="Q25" s="11">
        <f>C25*O25/$B$5*1000</f>
        <v/>
      </c>
      <c r="R25" s="10">
        <f>L25</f>
        <v/>
      </c>
      <c r="S25" s="10">
        <f>$B$17*(E25-1)*F25*G25+$B$18*(E25-1)*F25*G25</f>
        <v/>
      </c>
      <c r="T25" s="11">
        <f>C25*$B$5*$B$16*R25/10^6</f>
        <v/>
      </c>
      <c r="U25" s="11">
        <f>C25*$B$5*$B$16*S25/10^6</f>
        <v/>
      </c>
      <c r="V25" s="11">
        <f>SUM(T25:U25)</f>
        <v/>
      </c>
    </row>
    <row r="26" outlineLevel="1">
      <c r="A26" s="9" t="inlineStr">
        <is>
          <t>Residual convolution 2</t>
        </is>
      </c>
      <c r="B26" s="9" t="inlineStr">
        <is>
          <t>PosNet ResNet blocks 1–2</t>
        </is>
      </c>
      <c r="C26" s="9" t="n">
        <v>2</v>
      </c>
      <c r="D26" s="9" t="inlineStr">
        <is>
          <t>Causal Conv1d</t>
        </is>
      </c>
      <c r="E26" s="9" t="n">
        <v>3</v>
      </c>
      <c r="F26" s="9" t="n">
        <v>1</v>
      </c>
      <c r="G26" s="9">
        <f>$B$6</f>
        <v/>
      </c>
      <c r="H26" s="9">
        <f>$B$6</f>
        <v/>
      </c>
      <c r="I26" s="9" t="n">
        <v>1</v>
      </c>
      <c r="J26" s="10">
        <f>E26*G26*H26/I26</f>
        <v/>
      </c>
      <c r="K26" s="11">
        <f>C26*$B$5*J26/10^6</f>
        <v/>
      </c>
      <c r="L26" s="10">
        <f>J26+H26+2*$B$6</f>
        <v/>
      </c>
      <c r="M26" s="10">
        <f>C26*L26</f>
        <v/>
      </c>
      <c r="N26" s="9" t="n">
        <v>2</v>
      </c>
      <c r="O26" s="9" t="n">
        <v>0</v>
      </c>
      <c r="P26" s="11">
        <f>C26*N26/$B$5*1000</f>
        <v/>
      </c>
      <c r="Q26" s="11">
        <f>C26*O26/$B$5*1000</f>
        <v/>
      </c>
      <c r="R26" s="10">
        <f>L26</f>
        <v/>
      </c>
      <c r="S26" s="10">
        <f>$B$17*(E26-1)*F26*G26+$B$18*(E26-1)*F26*G26</f>
        <v/>
      </c>
      <c r="T26" s="11">
        <f>C26*$B$5*$B$16*R26/10^6</f>
        <v/>
      </c>
      <c r="U26" s="11">
        <f>C26*$B$5*$B$16*S26/10^6</f>
        <v/>
      </c>
      <c r="V26" s="11">
        <f>SUM(T26:U26)</f>
        <v/>
      </c>
    </row>
    <row r="27">
      <c r="A27" s="6" t="inlineStr">
        <is>
          <t>QKV projection</t>
        </is>
      </c>
      <c r="B27" s="6" t="inlineStr">
        <is>
          <t>Bounded attention after PosNet block 2</t>
        </is>
      </c>
      <c r="C27" s="6" t="n">
        <v>1</v>
      </c>
      <c r="D27" s="6" t="inlineStr">
        <is>
          <t>Conv1d / linear projection</t>
        </is>
      </c>
      <c r="E27" s="6" t="n">
        <v>1</v>
      </c>
      <c r="F27" s="6" t="n">
        <v>1</v>
      </c>
      <c r="G27" s="6">
        <f>$B$6</f>
        <v/>
      </c>
      <c r="H27" s="6">
        <f>$B$8</f>
        <v/>
      </c>
      <c r="I27" s="6" t="n">
        <v>1</v>
      </c>
      <c r="J27" s="7">
        <f>E27*G27*H27/I27</f>
        <v/>
      </c>
      <c r="K27" s="8">
        <f>C27*$B$5*J27/10^6</f>
        <v/>
      </c>
      <c r="L27" s="7">
        <f>J27+H27+2*$B$6</f>
        <v/>
      </c>
      <c r="M27" s="7">
        <f>C27*L27</f>
        <v/>
      </c>
      <c r="N27" s="6" t="n">
        <v>0</v>
      </c>
      <c r="O27" s="6" t="n">
        <v>0</v>
      </c>
      <c r="P27" s="8">
        <f>C27*N27/$B$5*1000</f>
        <v/>
      </c>
      <c r="Q27" s="8">
        <f>C27*O27/$B$5*1000</f>
        <v/>
      </c>
      <c r="R27" s="7">
        <f>L27</f>
        <v/>
      </c>
      <c r="S27" s="7" t="n">
        <v>0</v>
      </c>
      <c r="T27" s="8">
        <f>C27*$B$5*$B$16*R27/10^6</f>
        <v/>
      </c>
      <c r="U27" s="8">
        <f>C27*$B$5*$B$16*S27/10^6</f>
        <v/>
      </c>
      <c r="V27" s="8">
        <f>SUM(T27:U27)</f>
        <v/>
      </c>
    </row>
    <row r="28">
      <c r="A28" s="6" t="inlineStr">
        <is>
          <t>RoPE phase generation</t>
        </is>
      </c>
      <c r="B28" s="6" t="inlineStr">
        <is>
          <t>Bounded attention after PosNet block 2</t>
        </is>
      </c>
      <c r="C28" s="6" t="n">
        <v>1</v>
      </c>
      <c r="D28" s="6" t="inlineStr">
        <is>
          <t>Position × derived inverse frequencies; sine/cosine arithmetic excluded</t>
        </is>
      </c>
      <c r="E28" s="6">
        <f>$B$14/2</f>
        <v/>
      </c>
      <c r="F28" s="6" t="n">
        <v>1</v>
      </c>
      <c r="G28" s="6">
        <f>$B$6</f>
        <v/>
      </c>
      <c r="H28" s="6">
        <f>$B$6</f>
        <v/>
      </c>
      <c r="I28" s="6" t="n">
        <v>1</v>
      </c>
      <c r="J28" s="7">
        <f>E28</f>
        <v/>
      </c>
      <c r="K28" s="8">
        <f>C28*$B$5*J28/10^6</f>
        <v/>
      </c>
      <c r="L28" s="7" t="n">
        <v>0</v>
      </c>
      <c r="M28" s="7">
        <f>C28*L28</f>
        <v/>
      </c>
      <c r="N28" s="6" t="n">
        <v>0</v>
      </c>
      <c r="O28" s="6" t="n">
        <v>0</v>
      </c>
      <c r="P28" s="8">
        <f>C28*N28/$B$5*1000</f>
        <v/>
      </c>
      <c r="Q28" s="8">
        <f>C28*O28/$B$5*1000</f>
        <v/>
      </c>
      <c r="R28" s="7" t="n">
        <v>0</v>
      </c>
      <c r="S28" s="7">
        <f>$B$17*($B$14/2)</f>
        <v/>
      </c>
      <c r="T28" s="8">
        <f>C28*$B$5*$B$16*R28/10^6</f>
        <v/>
      </c>
      <c r="U28" s="8">
        <f>C28*$B$5*$B$16*S28/10^6</f>
        <v/>
      </c>
      <c r="V28" s="8">
        <f>SUM(T28:U28)</f>
        <v/>
      </c>
    </row>
    <row r="29">
      <c r="A29" s="6" t="inlineStr">
        <is>
          <t>RoPE query rotation</t>
        </is>
      </c>
      <c r="B29" s="6" t="inlineStr">
        <is>
          <t>Bounded attention after PosNet block 2</t>
        </is>
      </c>
      <c r="C29" s="6" t="n">
        <v>1</v>
      </c>
      <c r="D29" s="6" t="inlineStr">
        <is>
          <t>Pairwise rotary transform of Q</t>
        </is>
      </c>
      <c r="E29" s="6">
        <f>$B$14</f>
        <v/>
      </c>
      <c r="F29" s="6" t="n">
        <v>1</v>
      </c>
      <c r="G29" s="6">
        <f>$B$6</f>
        <v/>
      </c>
      <c r="H29" s="6">
        <f>$B$6</f>
        <v/>
      </c>
      <c r="I29" s="6">
        <f>$B$12</f>
        <v/>
      </c>
      <c r="J29" s="7">
        <f>2*E29*I29</f>
        <v/>
      </c>
      <c r="K29" s="8">
        <f>C29*$B$5*J29/10^6</f>
        <v/>
      </c>
      <c r="L29" s="7" t="n">
        <v>0</v>
      </c>
      <c r="M29" s="7">
        <f>C29*L29</f>
        <v/>
      </c>
      <c r="N29" s="6" t="n">
        <v>0</v>
      </c>
      <c r="O29" s="6" t="n">
        <v>0</v>
      </c>
      <c r="P29" s="8">
        <f>C29*N29/$B$5*1000</f>
        <v/>
      </c>
      <c r="Q29" s="8">
        <f>C29*O29/$B$5*1000</f>
        <v/>
      </c>
      <c r="R29" s="7" t="n">
        <v>0</v>
      </c>
      <c r="S29" s="7" t="n">
        <v>0</v>
      </c>
      <c r="T29" s="8">
        <f>C29*$B$5*$B$16*R29/10^6</f>
        <v/>
      </c>
      <c r="U29" s="8">
        <f>C29*$B$5*$B$16*S29/10^6</f>
        <v/>
      </c>
      <c r="V29" s="8">
        <f>SUM(T29:U29)</f>
        <v/>
      </c>
    </row>
    <row r="30">
      <c r="A30" s="6" t="inlineStr">
        <is>
          <t>RoPE key rotation</t>
        </is>
      </c>
      <c r="B30" s="6" t="inlineStr">
        <is>
          <t>Bounded attention after PosNet block 2</t>
        </is>
      </c>
      <c r="C30" s="6" t="n">
        <v>1</v>
      </c>
      <c r="D30" s="6" t="inlineStr">
        <is>
          <t>Pairwise rotary transform of K before cache use</t>
        </is>
      </c>
      <c r="E30" s="6">
        <f>$B$14</f>
        <v/>
      </c>
      <c r="F30" s="6" t="n">
        <v>1</v>
      </c>
      <c r="G30" s="6">
        <f>$B$6</f>
        <v/>
      </c>
      <c r="H30" s="6">
        <f>$B$6</f>
        <v/>
      </c>
      <c r="I30" s="6">
        <f>$B$12</f>
        <v/>
      </c>
      <c r="J30" s="7">
        <f>2*E30*I30</f>
        <v/>
      </c>
      <c r="K30" s="8">
        <f>C30*$B$5*J30/10^6</f>
        <v/>
      </c>
      <c r="L30" s="7" t="n">
        <v>0</v>
      </c>
      <c r="M30" s="7">
        <f>C30*L30</f>
        <v/>
      </c>
      <c r="N30" s="6" t="n">
        <v>0</v>
      </c>
      <c r="O30" s="6" t="n">
        <v>0</v>
      </c>
      <c r="P30" s="8">
        <f>C30*N30/$B$5*1000</f>
        <v/>
      </c>
      <c r="Q30" s="8">
        <f>C30*O30/$B$5*1000</f>
        <v/>
      </c>
      <c r="R30" s="7" t="n">
        <v>0</v>
      </c>
      <c r="S30" s="7" t="n">
        <v>0</v>
      </c>
      <c r="T30" s="8">
        <f>C30*$B$5*$B$16*R30/10^6</f>
        <v/>
      </c>
      <c r="U30" s="8">
        <f>C30*$B$5*$B$16*S30/10^6</f>
        <v/>
      </c>
      <c r="V30" s="8">
        <f>SUM(T30:U30)</f>
        <v/>
      </c>
    </row>
    <row r="31">
      <c r="A31" s="6" t="inlineStr">
        <is>
          <t>Query-key score product</t>
        </is>
      </c>
      <c r="B31" s="6" t="inlineStr">
        <is>
          <t>Bounded attention after PosNet block 2</t>
        </is>
      </c>
      <c r="C31" s="6" t="n">
        <v>1</v>
      </c>
      <c r="D31" s="6" t="inlineStr">
        <is>
          <t>Q × Kᵀ (configured bounded context)</t>
        </is>
      </c>
      <c r="E31" s="6">
        <f>$B$10+$B$11</f>
        <v/>
      </c>
      <c r="F31" s="6" t="n">
        <v>1</v>
      </c>
      <c r="G31" s="6">
        <f>$B$6</f>
        <v/>
      </c>
      <c r="H31" s="6">
        <f>$B$6</f>
        <v/>
      </c>
      <c r="I31" s="6">
        <f>$B$12</f>
        <v/>
      </c>
      <c r="J31" s="7">
        <f>I31*E31*(G31/I31)</f>
        <v/>
      </c>
      <c r="K31" s="8">
        <f>C31*$B$5*J31/10^6</f>
        <v/>
      </c>
      <c r="L31" s="7" t="n">
        <v>0</v>
      </c>
      <c r="M31" s="7">
        <f>C31*L31</f>
        <v/>
      </c>
      <c r="N31" s="6">
        <f>$B$10-1</f>
        <v/>
      </c>
      <c r="O31" s="6">
        <f>$B$11</f>
        <v/>
      </c>
      <c r="P31" s="8">
        <f>C31*N31/$B$5*1000</f>
        <v/>
      </c>
      <c r="Q31" s="8">
        <f>C31*O31/$B$5*1000</f>
        <v/>
      </c>
      <c r="R31" s="7" t="n">
        <v>0</v>
      </c>
      <c r="S31" s="7">
        <f>$B$17*($B$10-1+$B$11)*G31+$B$18*G31</f>
        <v/>
      </c>
      <c r="T31" s="8">
        <f>C31*$B$5*$B$16*R31/10^6</f>
        <v/>
      </c>
      <c r="U31" s="8">
        <f>C31*$B$5*$B$16*S31/10^6</f>
        <v/>
      </c>
      <c r="V31" s="8">
        <f>SUM(T31:U31)</f>
        <v/>
      </c>
    </row>
    <row r="32">
      <c r="A32" s="6" t="inlineStr">
        <is>
          <t>Attention-weighted value product</t>
        </is>
      </c>
      <c r="B32" s="6" t="inlineStr">
        <is>
          <t>Bounded attention after PosNet block 2</t>
        </is>
      </c>
      <c r="C32" s="6" t="n">
        <v>1</v>
      </c>
      <c r="D32" s="6" t="inlineStr">
        <is>
          <t>softmax(QKᵀ) × V</t>
        </is>
      </c>
      <c r="E32" s="6">
        <f>$B$10+$B$11</f>
        <v/>
      </c>
      <c r="F32" s="6" t="n">
        <v>1</v>
      </c>
      <c r="G32" s="6">
        <f>$B$6</f>
        <v/>
      </c>
      <c r="H32" s="6">
        <f>$B$6</f>
        <v/>
      </c>
      <c r="I32" s="6">
        <f>$B$12</f>
        <v/>
      </c>
      <c r="J32" s="7">
        <f>I32*E32*(G32/I32)</f>
        <v/>
      </c>
      <c r="K32" s="8">
        <f>C32*$B$5*J32/10^6</f>
        <v/>
      </c>
      <c r="L32" s="7" t="n">
        <v>0</v>
      </c>
      <c r="M32" s="7">
        <f>C32*L32</f>
        <v/>
      </c>
      <c r="N32" s="6" t="n">
        <v>0</v>
      </c>
      <c r="O32" s="6" t="n">
        <v>0</v>
      </c>
      <c r="P32" s="8">
        <f>C32*N32/$B$5*1000</f>
        <v/>
      </c>
      <c r="Q32" s="8">
        <f>C32*O32/$B$5*1000</f>
        <v/>
      </c>
      <c r="R32" s="7" t="n">
        <v>0</v>
      </c>
      <c r="S32" s="7">
        <f>$B$17*($B$10-1+$B$11)*G32+$B$18*G32</f>
        <v/>
      </c>
      <c r="T32" s="8">
        <f>C32*$B$5*$B$16*R32/10^6</f>
        <v/>
      </c>
      <c r="U32" s="8">
        <f>C32*$B$5*$B$16*S32/10^6</f>
        <v/>
      </c>
      <c r="V32" s="8">
        <f>SUM(T32:U32)</f>
        <v/>
      </c>
    </row>
    <row r="33">
      <c r="A33" s="6" t="inlineStr">
        <is>
          <t>Attention output projection</t>
        </is>
      </c>
      <c r="B33" s="6" t="inlineStr">
        <is>
          <t>Bounded attention after PosNet block 2</t>
        </is>
      </c>
      <c r="C33" s="6" t="n">
        <v>1</v>
      </c>
      <c r="D33" s="6" t="inlineStr">
        <is>
          <t>Conv1d / linear projection</t>
        </is>
      </c>
      <c r="E33" s="6" t="n">
        <v>1</v>
      </c>
      <c r="F33" s="6" t="n">
        <v>1</v>
      </c>
      <c r="G33" s="6">
        <f>$B$6</f>
        <v/>
      </c>
      <c r="H33" s="6">
        <f>$B$6</f>
        <v/>
      </c>
      <c r="I33" s="6" t="n">
        <v>1</v>
      </c>
      <c r="J33" s="7">
        <f>E33*G33*H33/I33</f>
        <v/>
      </c>
      <c r="K33" s="8">
        <f>C33*$B$5*J33/10^6</f>
        <v/>
      </c>
      <c r="L33" s="7">
        <f>J33+H33+0</f>
        <v/>
      </c>
      <c r="M33" s="7">
        <f>C33*L33</f>
        <v/>
      </c>
      <c r="N33" s="6" t="n">
        <v>0</v>
      </c>
      <c r="O33" s="6" t="n">
        <v>0</v>
      </c>
      <c r="P33" s="8">
        <f>C33*N33/$B$5*1000</f>
        <v/>
      </c>
      <c r="Q33" s="8">
        <f>C33*O33/$B$5*1000</f>
        <v/>
      </c>
      <c r="R33" s="7">
        <f>L33</f>
        <v/>
      </c>
      <c r="S33" s="7" t="n">
        <v>0</v>
      </c>
      <c r="T33" s="8">
        <f>C33*$B$5*$B$16*R33/10^6</f>
        <v/>
      </c>
      <c r="U33" s="8">
        <f>C33*$B$5*$B$16*S33/10^6</f>
        <v/>
      </c>
      <c r="V33" s="8">
        <f>SUM(T33:U33)</f>
        <v/>
      </c>
    </row>
    <row r="34" outlineLevel="1">
      <c r="A34" s="9" t="inlineStr">
        <is>
          <t>Residual convolution 1</t>
        </is>
      </c>
      <c r="B34" s="9" t="inlineStr">
        <is>
          <t>PosNet ResNet blocks 3–4</t>
        </is>
      </c>
      <c r="C34" s="9" t="n">
        <v>2</v>
      </c>
      <c r="D34" s="9" t="inlineStr">
        <is>
          <t>Causal Conv1d</t>
        </is>
      </c>
      <c r="E34" s="9" t="n">
        <v>3</v>
      </c>
      <c r="F34" s="9" t="n">
        <v>1</v>
      </c>
      <c r="G34" s="9">
        <f>$B$6</f>
        <v/>
      </c>
      <c r="H34" s="9">
        <f>$B$6</f>
        <v/>
      </c>
      <c r="I34" s="9" t="n">
        <v>1</v>
      </c>
      <c r="J34" s="10">
        <f>E34*G34*H34/I34</f>
        <v/>
      </c>
      <c r="K34" s="11">
        <f>C34*$B$5*J34/10^6</f>
        <v/>
      </c>
      <c r="L34" s="10">
        <f>J34+H34+2*$B$6</f>
        <v/>
      </c>
      <c r="M34" s="10">
        <f>C34*L34</f>
        <v/>
      </c>
      <c r="N34" s="9" t="n">
        <v>2</v>
      </c>
      <c r="O34" s="9" t="n">
        <v>0</v>
      </c>
      <c r="P34" s="11">
        <f>C34*N34/$B$5*1000</f>
        <v/>
      </c>
      <c r="Q34" s="11">
        <f>C34*O34/$B$5*1000</f>
        <v/>
      </c>
      <c r="R34" s="10">
        <f>L34</f>
        <v/>
      </c>
      <c r="S34" s="10">
        <f>$B$17*(E34-1)*F34*G34+$B$18*(E34-1)*F34*G34</f>
        <v/>
      </c>
      <c r="T34" s="11">
        <f>C34*$B$5*$B$16*R34/10^6</f>
        <v/>
      </c>
      <c r="U34" s="11">
        <f>C34*$B$5*$B$16*S34/10^6</f>
        <v/>
      </c>
      <c r="V34" s="11">
        <f>SUM(T34:U34)</f>
        <v/>
      </c>
    </row>
    <row r="35" outlineLevel="1">
      <c r="A35" s="9" t="inlineStr">
        <is>
          <t>Residual convolution 2</t>
        </is>
      </c>
      <c r="B35" s="9" t="inlineStr">
        <is>
          <t>PosNet ResNet blocks 3–4</t>
        </is>
      </c>
      <c r="C35" s="9" t="n">
        <v>2</v>
      </c>
      <c r="D35" s="9" t="inlineStr">
        <is>
          <t>Causal Conv1d</t>
        </is>
      </c>
      <c r="E35" s="9" t="n">
        <v>3</v>
      </c>
      <c r="F35" s="9" t="n">
        <v>1</v>
      </c>
      <c r="G35" s="9">
        <f>$B$6</f>
        <v/>
      </c>
      <c r="H35" s="9">
        <f>$B$6</f>
        <v/>
      </c>
      <c r="I35" s="9" t="n">
        <v>1</v>
      </c>
      <c r="J35" s="10">
        <f>E35*G35*H35/I35</f>
        <v/>
      </c>
      <c r="K35" s="11">
        <f>C35*$B$5*J35/10^6</f>
        <v/>
      </c>
      <c r="L35" s="10">
        <f>J35+H35+2*$B$6</f>
        <v/>
      </c>
      <c r="M35" s="10">
        <f>C35*L35</f>
        <v/>
      </c>
      <c r="N35" s="9" t="n">
        <v>2</v>
      </c>
      <c r="O35" s="9" t="n">
        <v>0</v>
      </c>
      <c r="P35" s="11">
        <f>C35*N35/$B$5*1000</f>
        <v/>
      </c>
      <c r="Q35" s="11">
        <f>C35*O35/$B$5*1000</f>
        <v/>
      </c>
      <c r="R35" s="10">
        <f>L35</f>
        <v/>
      </c>
      <c r="S35" s="10">
        <f>$B$17*(E35-1)*F35*G35+$B$18*(E35-1)*F35*G35</f>
        <v/>
      </c>
      <c r="T35" s="11">
        <f>C35*$B$5*$B$16*R35/10^6</f>
        <v/>
      </c>
      <c r="U35" s="11">
        <f>C35*$B$5*$B$16*S35/10^6</f>
        <v/>
      </c>
      <c r="V35" s="11">
        <f>SUM(T35:U35)</f>
        <v/>
      </c>
    </row>
    <row r="36">
      <c r="A36" s="6" t="inlineStr">
        <is>
          <t>Latent projection</t>
        </is>
      </c>
      <c r="B36" s="6" t="inlineStr">
        <is>
          <t>Encoder output</t>
        </is>
      </c>
      <c r="C36" s="6" t="n">
        <v>1</v>
      </c>
      <c r="D36" s="6" t="inlineStr">
        <is>
          <t>Causal Conv1d</t>
        </is>
      </c>
      <c r="E36" s="6" t="n">
        <v>3</v>
      </c>
      <c r="F36" s="6" t="n">
        <v>1</v>
      </c>
      <c r="G36" s="6">
        <f>$B$6</f>
        <v/>
      </c>
      <c r="H36" s="6">
        <f>$B$6</f>
        <v/>
      </c>
      <c r="I36" s="6" t="n">
        <v>1</v>
      </c>
      <c r="J36" s="7">
        <f>E36*G36*H36/I36</f>
        <v/>
      </c>
      <c r="K36" s="8">
        <f>C36*$B$5*J36/10^6</f>
        <v/>
      </c>
      <c r="L36" s="7">
        <f>J36+H36+2*$B$6</f>
        <v/>
      </c>
      <c r="M36" s="7">
        <f>C36*L36</f>
        <v/>
      </c>
      <c r="N36" s="6" t="n">
        <v>2</v>
      </c>
      <c r="O36" s="6" t="n">
        <v>0</v>
      </c>
      <c r="P36" s="8">
        <f>C36*N36/$B$5*1000</f>
        <v/>
      </c>
      <c r="Q36" s="8">
        <f>C36*O36/$B$5*1000</f>
        <v/>
      </c>
      <c r="R36" s="7">
        <f>L36</f>
        <v/>
      </c>
      <c r="S36" s="7">
        <f>$B$17*(E36-1)*F36*G36+$B$18*(E36-1)*F36*G36</f>
        <v/>
      </c>
      <c r="T36" s="8">
        <f>C36*$B$5*$B$16*R36/10^6</f>
        <v/>
      </c>
      <c r="U36" s="8">
        <f>C36*$B$5*$B$16*S36/10^6</f>
        <v/>
      </c>
      <c r="V36" s="8">
        <f>SUM(T36:U36)</f>
        <v/>
      </c>
    </row>
    <row r="37">
      <c r="A37" s="12" t="inlineStr">
        <is>
          <t>Formula-based total</t>
        </is>
      </c>
      <c r="B37" s="12" t="n"/>
      <c r="C37" s="12" t="n"/>
      <c r="D37" s="12" t="n"/>
      <c r="E37" s="12" t="n"/>
      <c r="F37" s="12" t="n"/>
      <c r="G37" s="12" t="n"/>
      <c r="H37" s="12" t="n"/>
      <c r="I37" s="12" t="n"/>
      <c r="J37" s="12" t="n"/>
      <c r="K37" s="12">
        <f>SUM(K20:K36)</f>
        <v/>
      </c>
      <c r="L37" s="12" t="n"/>
      <c r="M37" s="12">
        <f>SUM(M20:M36)</f>
        <v/>
      </c>
      <c r="N37" s="12" t="n"/>
      <c r="O37" s="12" t="n"/>
      <c r="P37" s="12">
        <f>SUM(P20:P36)</f>
        <v/>
      </c>
      <c r="Q37" s="12">
        <f>SUM(Q20:Q36)</f>
        <v/>
      </c>
      <c r="R37" s="12">
        <f>SUMPRODUCT(C20:C36,R20:R36)</f>
        <v/>
      </c>
      <c r="S37" s="12" t="n"/>
      <c r="T37" s="12">
        <f>SUM(T20:T36)</f>
        <v/>
      </c>
      <c r="U37" s="12">
        <f>SUM(U20:U36)</f>
        <v/>
      </c>
      <c r="V37" s="12">
        <f>SUM(T37:U37)</f>
        <v/>
      </c>
    </row>
    <row r="38">
      <c r="A38" s="13" t="inlineStr">
        <is>
          <t>Total compute (MFLOPS)</t>
        </is>
      </c>
      <c r="B38" s="13" t="n"/>
      <c r="C38" s="13" t="n"/>
      <c r="D38" s="13" t="n"/>
      <c r="E38" s="13" t="n"/>
      <c r="F38" s="13" t="n"/>
      <c r="G38" s="13" t="n"/>
      <c r="H38" s="13" t="n"/>
      <c r="I38" s="13" t="n"/>
      <c r="J38" s="13" t="n"/>
      <c r="K38" s="13">
        <f>K37*2</f>
        <v/>
      </c>
      <c r="L38" s="13" t="n"/>
      <c r="M38" s="13" t="n"/>
      <c r="N38" s="13" t="n"/>
      <c r="O38" s="13" t="n"/>
      <c r="P38" s="13" t="n"/>
      <c r="Q38" s="13" t="n"/>
      <c r="R38" s="13" t="n"/>
      <c r="S38" s="13" t="n"/>
      <c r="T38" s="13" t="n"/>
      <c r="U38" s="13" t="n"/>
      <c r="V38" s="13" t="n"/>
    </row>
    <row r="40">
      <c r="A40" s="4" t="inlineStr">
        <is>
          <t>Memory bandwidth uses the bytes-per-value setting in B16 and includes model parameters, model buffers, convolution state, and attention KV-cache. Parameter-cap values include trainable parameters and non-runtime model buffers required for inference. Runtime state/cache is excluded from the parameter cap, but its read/write traffic is included in memory bandwidth. Intermediate activations are excluded by the challenge convention. Attention MACs assume that the configured context buffer is fully populated; startup frames require less compute. FOV left is history, not latency; only FOV right contributes to algorithmic latency. STFT/ISTFT frames use centred hop alignment and have (FFT size - hop) / 2 samples of left and right context. Their overlap state remains FFT size - hop samples. Window and overlap-state bandwidth is shown explicitly in the first table row; FFT arithmetic is excluded.</t>
        </is>
      </c>
    </row>
    <row r="41"/>
  </sheetData>
  <autoFilter ref="A19:V36"/>
  <mergeCells count="3">
    <mergeCell ref="A1:V1"/>
    <mergeCell ref="D2:V18"/>
    <mergeCell ref="A40:V41"/>
  </mergeCells>
  <pageMargins left="0.75" right="0.75" top="1" bottom="1" header="0.5" footer="0.5"/>
  <pageSetup orientation="landscape"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0"/>
  <sheetViews>
    <sheetView workbookViewId="0">
      <pane ySplit="3" topLeftCell="A4" activePane="bottomLeft" state="frozen"/>
      <selection pane="bottomLeft" activeCell="A1" sqref="A1"/>
    </sheetView>
  </sheetViews>
  <sheetFormatPr baseColWidth="8" defaultRowHeight="15"/>
  <cols>
    <col width="19" customWidth="1" min="1" max="1"/>
    <col width="21" customWidth="1" min="2" max="2"/>
    <col width="16" customWidth="1" min="3" max="3"/>
    <col width="10" customWidth="1" min="4" max="4"/>
    <col width="13" customWidth="1" min="5" max="5"/>
    <col width="21" customWidth="1" min="6" max="6"/>
    <col width="18" customWidth="1" min="7" max="7"/>
    <col width="22" customWidth="1" min="8" max="8"/>
    <col width="25" customWidth="1" min="9" max="9"/>
    <col width="25" customWidth="1" min="10" max="10"/>
    <col width="26" customWidth="1" min="11" max="11"/>
    <col width="19" customWidth="1" min="12" max="12"/>
    <col width="23" customWidth="1" min="13" max="13"/>
    <col width="13" customWidth="1" min="14" max="14"/>
    <col width="23" customWidth="1" min="15" max="15"/>
    <col width="24" customWidth="1" min="16" max="16"/>
    <col width="21" customWidth="1" min="17" max="17"/>
    <col width="25" customWidth="1" min="18" max="18"/>
    <col width="24" customWidth="1" min="19" max="19"/>
    <col width="23" customWidth="1" min="20" max="20"/>
    <col width="27" customWidth="1" min="21" max="21"/>
  </cols>
  <sheetData>
    <row r="1" ht="25" customHeight="1">
      <c r="A1" s="1" t="inlineStr">
        <is>
          <t>VoCodec DAC-Style RVQ Transmit — 100 Hz / 24-layer / RoPE / 1.5M cap</t>
        </is>
      </c>
    </row>
    <row r="2"/>
    <row r="3">
      <c r="A3" s="5" t="inlineStr">
        <is>
          <t>Embedding Dimension</t>
        </is>
      </c>
      <c r="B3" s="5" t="inlineStr">
        <is>
          <t>Projection Dimension</t>
        </is>
      </c>
      <c r="C3" s="5" t="inlineStr">
        <is>
          <t>Codebook Size</t>
        </is>
      </c>
      <c r="D3" s="5" t="inlineStr">
        <is>
          <t>Layers</t>
        </is>
      </c>
      <c r="E3" s="5" t="inlineStr">
        <is>
          <t>Frame Rate</t>
        </is>
      </c>
      <c r="F3" s="5" t="inlineStr">
        <is>
          <t>MMAC/s Input Projections</t>
        </is>
      </c>
      <c r="G3" s="5" t="inlineStr">
        <is>
          <t>MMAC/s Distance</t>
        </is>
      </c>
      <c r="H3" s="5" t="inlineStr">
        <is>
          <t>MMAC/s Output Projections</t>
        </is>
      </c>
      <c r="I3" s="5" t="inlineStr">
        <is>
          <t>Total Compute (MFLOPS)</t>
        </is>
      </c>
      <c r="J3" s="5" t="inlineStr">
        <is>
          <t>Parameters (biases and weight norm excluded)</t>
        </is>
      </c>
      <c r="K3" s="5" t="inlineStr">
        <is>
          <t>Unique VQ Trainable Parameters</t>
        </is>
      </c>
      <c r="L3" s="5" t="inlineStr">
        <is>
          <t>Maximum Native Bitrate (kbps)</t>
        </is>
      </c>
      <c r="M3" s="5" t="inlineStr">
        <is>
          <t>Latency (ms)</t>
        </is>
      </c>
      <c r="N3" s="5" t="inlineStr">
        <is>
          <t>Input Projection Values / Layer</t>
        </is>
      </c>
      <c r="O3" s="5" t="inlineStr">
        <is>
          <t>Output Projection Values / Layer</t>
        </is>
      </c>
      <c r="P3" s="5" t="inlineStr">
        <is>
          <t>Codebook Values / Layer</t>
        </is>
      </c>
      <c r="Q3" s="5" t="inlineStr">
        <is>
          <t>Input Projection BW / Layer (MB/s)</t>
        </is>
      </c>
      <c r="R3" s="5" t="inlineStr">
        <is>
          <t>Output Projection BW / Layer (MB/s)</t>
        </is>
      </c>
      <c r="S3" s="5" t="inlineStr">
        <is>
          <t>Codebook Scan BW / Layer (MB/s)</t>
        </is>
      </c>
      <c r="T3" s="5" t="inlineStr">
        <is>
          <t>Total BW / Layer (MB/s)</t>
        </is>
      </c>
      <c r="U3" s="5" t="inlineStr">
        <is>
          <t>All Active Layers BW (MB/s)</t>
        </is>
      </c>
    </row>
    <row r="4">
      <c r="A4" s="6">
        <f>'Encoder-Track2'!$B$6</f>
        <v/>
      </c>
      <c r="B4" s="6" t="n">
        <v>8</v>
      </c>
      <c r="C4" s="6" t="n">
        <v>1024</v>
      </c>
      <c r="D4" s="6" t="n">
        <v>24</v>
      </c>
      <c r="E4" s="6">
        <f>'Encoder-Track2'!$B$5</f>
        <v/>
      </c>
      <c r="F4" s="6">
        <f>A4*B4*D4*E4/10^6</f>
        <v/>
      </c>
      <c r="G4" s="6">
        <f>B4*C4*D4*E4/10^6</f>
        <v/>
      </c>
      <c r="H4" s="6">
        <f>B4*A4*D4*E4/10^6</f>
        <v/>
      </c>
      <c r="I4" s="6">
        <f>SUM(F4:H4)*2</f>
        <v/>
      </c>
      <c r="J4" s="6">
        <f>D4*(C4*B4+A4*B4+B4*A4)</f>
        <v/>
      </c>
      <c r="K4" s="6">
        <f>D4*(N4+O4+P4)</f>
        <v/>
      </c>
      <c r="L4" s="6">
        <f>LOG(C4,2)*D4*E4/1000</f>
        <v/>
      </c>
      <c r="M4" s="6" t="n">
        <v>0</v>
      </c>
      <c r="N4" s="6">
        <f>A4*B4+2*B4</f>
        <v/>
      </c>
      <c r="O4" s="6">
        <f>B4*A4+2*A4</f>
        <v/>
      </c>
      <c r="P4" s="6">
        <f>B4*C4</f>
        <v/>
      </c>
      <c r="Q4" s="6">
        <f>E4*'Encoder-Track2'!$B$16*N4/10^6</f>
        <v/>
      </c>
      <c r="R4" s="6">
        <f>E4*'Encoder-Track2'!$B$16*O4/10^6</f>
        <v/>
      </c>
      <c r="S4" s="6">
        <f>E4*'Encoder-Track2'!$B$16*P4/10^6</f>
        <v/>
      </c>
      <c r="T4" s="6">
        <f>SUM(Q4:S4)</f>
        <v/>
      </c>
      <c r="U4" s="6">
        <f>T4*D4</f>
        <v/>
      </c>
    </row>
    <row r="5"/>
    <row r="6"/>
    <row r="7">
      <c r="A7" s="4" t="inlineStr">
        <is>
          <t>The Track 2 baseline uses one factorized DAC RVQ: the low-dimensional codebooks and output projections are shared logical parameters and are counted once, while their transmit- and receive-side accesses are counted separately. An alternative deployment may keep the low-dimensional transmit codebooks and materialize separate receive codebooks containing the output-projected vectors. That alternative removes receive output-projection compute and parameter-read bandwidth. Under this sheet's MAC convention, receive VQ compute then becomes zero; receive VQ bandwidth becomes Frame Rate x Bytes per Value x RVQ Layers x Model Dimension, and the parameter cap gains RVQ Layers x Codebook Size x Model Dimension values for the materialized receive codebooks. Transmit accounting is unchanged. Those alternative values are not included here. This design natively supports 1, 6, 12, 24 kbps. A request above 24 kbps, including 32 kbps, is clamped to all 24 layers and produces the same output as 24 kbps.</t>
        </is>
      </c>
    </row>
    <row r="8"/>
    <row r="9"/>
    <row r="10"/>
  </sheetData>
  <mergeCells count="2">
    <mergeCell ref="A1:U1"/>
    <mergeCell ref="A7:U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0"/>
  <sheetViews>
    <sheetView workbookViewId="0">
      <pane ySplit="3" topLeftCell="A4" activePane="bottomLeft" state="frozen"/>
      <selection pane="bottomLeft" activeCell="A1" sqref="A1"/>
    </sheetView>
  </sheetViews>
  <sheetFormatPr baseColWidth="8" defaultRowHeight="15"/>
  <cols>
    <col width="19" customWidth="1" min="1" max="1"/>
    <col width="21" customWidth="1" min="2" max="2"/>
    <col width="16" customWidth="1" min="3" max="3"/>
    <col width="25" customWidth="1" min="4" max="4"/>
    <col width="13" customWidth="1" min="5" max="5"/>
    <col width="26" customWidth="1" min="6" max="6"/>
    <col width="23" customWidth="1" min="7" max="7"/>
    <col width="29" customWidth="1" min="8" max="8"/>
    <col width="24" customWidth="1" min="9" max="9"/>
    <col width="14" customWidth="1" min="10" max="10"/>
    <col width="26" customWidth="1" min="11" max="11"/>
    <col width="27" customWidth="1" min="12" max="12"/>
    <col width="28" customWidth="1" min="13" max="13"/>
    <col width="29" customWidth="1" min="14" max="14"/>
    <col width="23" customWidth="1" min="15" max="15"/>
    <col width="27" customWidth="1" min="16" max="16"/>
  </cols>
  <sheetData>
    <row r="1" ht="25" customHeight="1">
      <c r="A1" s="1" t="inlineStr">
        <is>
          <t>VoCodec DAC-Style RVQ Receive — 100 Hz / 24-layer / RoPE / 1.5M cap</t>
        </is>
      </c>
    </row>
    <row r="2"/>
    <row r="3">
      <c r="A3" s="5" t="inlineStr">
        <is>
          <t>Embedding Dimension</t>
        </is>
      </c>
      <c r="B3" s="5" t="inlineStr">
        <is>
          <t>Projection Dimension</t>
        </is>
      </c>
      <c r="C3" s="5" t="inlineStr">
        <is>
          <t>Codebook Size</t>
        </is>
      </c>
      <c r="D3" s="5" t="inlineStr">
        <is>
          <t>Active Layers at Maximum Bitrate</t>
        </is>
      </c>
      <c r="E3" s="5" t="inlineStr">
        <is>
          <t>Frame Rate</t>
        </is>
      </c>
      <c r="F3" s="5" t="inlineStr">
        <is>
          <t>MMAC/s Output Projections</t>
        </is>
      </c>
      <c r="G3" s="5" t="inlineStr">
        <is>
          <t>Total Compute (MFLOPS)</t>
        </is>
      </c>
      <c r="H3" s="5" t="inlineStr">
        <is>
          <t>Shared VQ Parameters (counted on transmit tab)</t>
        </is>
      </c>
      <c r="I3" s="5" t="inlineStr">
        <is>
          <t>Additional Unique Parameters</t>
        </is>
      </c>
      <c r="J3" s="5" t="inlineStr">
        <is>
          <t>Latency (ms)</t>
        </is>
      </c>
      <c r="K3" s="5" t="inlineStr">
        <is>
          <t>Selected Embedding Values / Layer</t>
        </is>
      </c>
      <c r="L3" s="5" t="inlineStr">
        <is>
          <t>Output Projection Values / Layer</t>
        </is>
      </c>
      <c r="M3" s="5" t="inlineStr">
        <is>
          <t>Selected Embedding BW / Layer (MB/s)</t>
        </is>
      </c>
      <c r="N3" s="5" t="inlineStr">
        <is>
          <t>Output Projection BW / Layer (MB/s)</t>
        </is>
      </c>
      <c r="O3" s="5" t="inlineStr">
        <is>
          <t>Total BW / Layer (MB/s)</t>
        </is>
      </c>
      <c r="P3" s="5" t="inlineStr">
        <is>
          <t>All Active Layers BW (MB/s)</t>
        </is>
      </c>
    </row>
    <row r="4">
      <c r="A4" s="6">
        <f>'VQ-Transmit-Track2'!A4</f>
        <v/>
      </c>
      <c r="B4" s="6">
        <f>'VQ-Transmit-Track2'!B4</f>
        <v/>
      </c>
      <c r="C4" s="6">
        <f>'VQ-Transmit-Track2'!C4</f>
        <v/>
      </c>
      <c r="D4" s="6">
        <f>'VQ-Transmit-Track2'!D4</f>
        <v/>
      </c>
      <c r="E4" s="6">
        <f>'VQ-Transmit-Track2'!E4</f>
        <v/>
      </c>
      <c r="F4" s="6">
        <f>A4*B4*D4*E4/10^6</f>
        <v/>
      </c>
      <c r="G4" s="6">
        <f>F4*2</f>
        <v/>
      </c>
      <c r="H4" s="6">
        <f>'VQ-Transmit-Track2'!K4</f>
        <v/>
      </c>
      <c r="I4" s="6" t="n">
        <v>0</v>
      </c>
      <c r="J4" s="6" t="n">
        <v>0</v>
      </c>
      <c r="K4" s="6">
        <f>B4</f>
        <v/>
      </c>
      <c r="L4" s="6">
        <f>'VQ-Transmit-Track2'!O4</f>
        <v/>
      </c>
      <c r="M4" s="6">
        <f>E4*'Encoder-Track2'!$B$16*K4/10^6</f>
        <v/>
      </c>
      <c r="N4" s="6">
        <f>E4*'Encoder-Track2'!$B$16*L4/10^6</f>
        <v/>
      </c>
      <c r="O4" s="6">
        <f>SUM(M4:N4)</f>
        <v/>
      </c>
      <c r="P4" s="6">
        <f>O4*D4</f>
        <v/>
      </c>
    </row>
    <row r="5"/>
    <row r="6"/>
    <row r="7">
      <c r="A7" s="4" t="inlineStr">
        <is>
          <t>The Track 2 baseline uses one factorized DAC RVQ: the low-dimensional codebooks and output projections are shared logical parameters and are counted once, while their transmit- and receive-side accesses are counted separately. An alternative deployment may keep the low-dimensional transmit codebooks and materialize separate receive codebooks containing the output-projected vectors. That alternative removes receive output-projection compute and parameter-read bandwidth. Under this sheet's MAC convention, receive VQ compute then becomes zero; receive VQ bandwidth becomes Frame Rate x Bytes per Value x RVQ Layers x Model Dimension, and the parameter cap gains RVQ Layers x Codebook Size x Model Dimension values for the materialized receive codebooks. Transmit accounting is unchanged. Those alternative values are not included here. This design natively supports 1, 6, 12, 24 kbps. A request above 24 kbps, including 32 kbps, is clamped to all 24 layers and produces the same output as 24 kbps.</t>
        </is>
      </c>
    </row>
    <row r="8"/>
    <row r="9"/>
    <row r="10"/>
  </sheetData>
  <mergeCells count="2">
    <mergeCell ref="A1:P1"/>
    <mergeCell ref="A7:P10"/>
  </mergeCell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V41"/>
  <sheetViews>
    <sheetView zoomScale="70" workbookViewId="0">
      <pane ySplit="19" topLeftCell="A20" activePane="bottomLeft" state="frozen"/>
      <selection pane="bottomLeft" activeCell="A1" sqref="A1"/>
    </sheetView>
  </sheetViews>
  <sheetFormatPr baseColWidth="8" defaultRowHeight="15"/>
  <cols>
    <col width="31" customWidth="1" min="1" max="1"/>
    <col width="32" customWidth="1" min="2" max="2"/>
    <col width="10" customWidth="1" min="3" max="3"/>
    <col width="38" customWidth="1" min="4" max="4"/>
    <col width="17" customWidth="1" min="5" max="5"/>
    <col width="10" customWidth="1" min="6" max="6"/>
    <col width="14" customWidth="1" min="7" max="7"/>
    <col width="15" customWidth="1" min="8" max="8"/>
    <col width="15" customWidth="1" min="9" max="9"/>
    <col width="22" customWidth="1" min="10" max="10"/>
    <col width="13" customWidth="1" min="11" max="11"/>
    <col width="22" customWidth="1" min="12" max="12"/>
    <col width="21" customWidth="1" min="13" max="13"/>
    <col width="16" customWidth="1" min="14" max="14"/>
    <col width="17" customWidth="1" min="15" max="15"/>
    <col width="19" customWidth="1" min="16" max="16"/>
    <col width="21" customWidth="1" min="17" max="17"/>
    <col width="22" customWidth="1" min="18" max="18"/>
    <col width="28" customWidth="1" min="19" max="19"/>
    <col width="22" customWidth="1" min="20" max="20"/>
    <col width="26" customWidth="1" min="21" max="21"/>
    <col width="19" customWidth="1" min="22" max="22"/>
  </cols>
  <sheetData>
    <row r="1" ht="25" customHeight="1">
      <c r="A1" s="1" t="inlineStr">
        <is>
          <t>VoCodec Decoder — 100 Hz / 24-layer / RoPE / 1.5M cap</t>
        </is>
      </c>
    </row>
    <row r="2">
      <c r="A2" s="2" t="inlineStr">
        <is>
          <t>Sampling rate (Hz)</t>
        </is>
      </c>
      <c r="B2" s="3">
        <f>'Encoder-Track2'!$B$2</f>
        <v/>
      </c>
      <c r="D2" s="4" t="inlineStr">
        <is>
          <t>Computations only include MAC-bearing operations. The first STFT/ISTFT row has zero counted MACs but explicitly accounts for its persistent window and streaming overlap state. LayerNorm arithmetic is omitted, while each LayerNorm's scale and bias values are included in column L through the +2*$B$6 terms; +4*$B$6 includes two LayerNorms. Hover over those cells for the exact association. Activations, residual additions, dropout, softmax, and FFT arithmetic are omitted under the LRAC sheet convention. Overall Stride in B5 drives compute, field-of-view, and memory-bandwidth formulas. Channel dimensions are centralized in B6:B9, and bounded attention and RoPE settings are centralized in B10:B14. Bytes per value and runtime state read/write assumptions are centralized in B16:B18. The layer table references those cells. All totals derive only from visible formulas.</t>
        </is>
      </c>
    </row>
    <row r="3">
      <c r="A3" s="2" t="inlineStr">
        <is>
          <t>STFT window / FFT size (samples)</t>
        </is>
      </c>
      <c r="B3" s="3">
        <f>'Encoder-Track2'!$B$3</f>
        <v/>
      </c>
    </row>
    <row r="4">
      <c r="A4" s="2" t="inlineStr">
        <is>
          <t>STFT hop (samples)</t>
        </is>
      </c>
      <c r="B4" s="3">
        <f>'Encoder-Track2'!$B$4</f>
        <v/>
      </c>
    </row>
    <row r="5">
      <c r="A5" s="2" t="inlineStr">
        <is>
          <t>Overall Stride (sampling rate / STFT hop)</t>
        </is>
      </c>
      <c r="B5" s="3">
        <f>B2/B4</f>
        <v/>
      </c>
    </row>
    <row r="6">
      <c r="A6" s="2" t="inlineStr">
        <is>
          <t>Model channels</t>
        </is>
      </c>
      <c r="B6" s="3">
        <f>'Encoder-Track2'!$B$6</f>
        <v/>
      </c>
    </row>
    <row r="7">
      <c r="A7" s="2" t="inlineStr">
        <is>
          <t>Decoder ConvNeXt expansion channels</t>
        </is>
      </c>
      <c r="B7" s="3" t="n">
        <v>128</v>
      </c>
    </row>
    <row r="8">
      <c r="A8" s="2" t="inlineStr">
        <is>
          <t>Attention QKV channels</t>
        </is>
      </c>
      <c r="B8" s="3">
        <f>3*B6</f>
        <v/>
      </c>
    </row>
    <row r="9">
      <c r="A9" s="2" t="inlineStr">
        <is>
          <t>Complex STFT feature channels</t>
        </is>
      </c>
      <c r="B9" s="3">
        <f>'Encoder-Track2'!$B$9</f>
        <v/>
      </c>
    </row>
    <row r="10">
      <c r="A10" s="2" t="inlineStr">
        <is>
          <t>Attention context (frames, current included)</t>
        </is>
      </c>
      <c r="B10" s="3">
        <f>'Encoder-Track2'!$B$10</f>
        <v/>
      </c>
    </row>
    <row r="11">
      <c r="A11" s="2" t="inlineStr">
        <is>
          <t>Attention lookahead (frames)</t>
        </is>
      </c>
      <c r="B11" s="3">
        <f>'Encoder-Track2'!$B$11</f>
        <v/>
      </c>
    </row>
    <row r="12">
      <c r="A12" s="2" t="inlineStr">
        <is>
          <t>Attention heads</t>
        </is>
      </c>
      <c r="B12" s="3">
        <f>'Encoder-Track2'!$B$12</f>
        <v/>
      </c>
    </row>
    <row r="13">
      <c r="A13" s="2" t="inlineStr">
        <is>
          <t>Attention uses RoPE</t>
        </is>
      </c>
      <c r="B13" s="3">
        <f>'Encoder-Track2'!$B$13</f>
        <v/>
      </c>
    </row>
    <row r="14">
      <c r="A14" s="2" t="inlineStr">
        <is>
          <t>RoPE rotary dimensions / head</t>
        </is>
      </c>
      <c r="B14" s="3">
        <f>'Encoder-Track2'!$B$14</f>
        <v/>
      </c>
    </row>
    <row r="15">
      <c r="A15" s="2" t="inlineStr">
        <is>
          <t>ISTFT synthesis lookahead (ms)</t>
        </is>
      </c>
      <c r="B15" s="3">
        <f>(($B$3-$B$4)/2)/$B$2*1000</f>
        <v/>
      </c>
    </row>
    <row r="16">
      <c r="A16" s="2" t="inlineStr">
        <is>
          <t>Bytes per parameter/buffer value</t>
        </is>
      </c>
      <c r="B16" s="3">
        <f>'Encoder-Track2'!$B$16</f>
        <v/>
      </c>
    </row>
    <row r="17">
      <c r="A17" s="2" t="inlineStr">
        <is>
          <t>Runtime state reads per call</t>
        </is>
      </c>
      <c r="B17" s="3">
        <f>'Encoder-Track2'!$B$17</f>
        <v/>
      </c>
    </row>
    <row r="18">
      <c r="A18" s="2" t="inlineStr">
        <is>
          <t>Runtime state writes per call</t>
        </is>
      </c>
      <c r="B18" s="3">
        <f>'Encoder-Track2'!$B$18</f>
        <v/>
      </c>
    </row>
    <row r="19" ht="58" customHeight="1">
      <c r="A19" s="5" t="inlineStr">
        <is>
          <t>Layer Name</t>
        </is>
      </c>
      <c r="B19" s="5" t="inlineStr">
        <is>
          <t>Block ID</t>
        </is>
      </c>
      <c r="C19" s="5" t="inlineStr">
        <is>
          <t># Blocks</t>
        </is>
      </c>
      <c r="D19" s="5" t="inlineStr">
        <is>
          <t>Operation</t>
        </is>
      </c>
      <c r="E19" s="5" t="inlineStr">
        <is>
          <t>Kernel / Context</t>
        </is>
      </c>
      <c r="F19" s="5" t="inlineStr">
        <is>
          <t>Dilation</t>
        </is>
      </c>
      <c r="G19" s="5" t="inlineStr">
        <is>
          <t>Input Channels</t>
        </is>
      </c>
      <c r="H19" s="5" t="inlineStr">
        <is>
          <t>Output Channels</t>
        </is>
      </c>
      <c r="I19" s="5" t="inlineStr">
        <is>
          <t>Groups / Heads</t>
        </is>
      </c>
      <c r="J19" s="5" t="inlineStr">
        <is>
          <t>MAC / Position / Block</t>
        </is>
      </c>
      <c r="K19" s="5" t="inlineStr">
        <is>
          <t>MMAC/s</t>
        </is>
      </c>
      <c r="L19" s="5" t="inlineStr">
        <is>
          <t>Trainable Params / Block</t>
        </is>
      </c>
      <c r="M19" s="5" t="inlineStr">
        <is>
          <t>Total Trainable Params</t>
        </is>
      </c>
      <c r="N19" s="5" t="inlineStr">
        <is>
          <t>FOV Left / Block</t>
        </is>
      </c>
      <c r="O19" s="5" t="inlineStr">
        <is>
          <t>FOV Right / Block</t>
        </is>
      </c>
      <c r="P19" s="5" t="inlineStr">
        <is>
          <t>Total FOV Left (ms)</t>
        </is>
      </c>
      <c r="Q19" s="5" t="inlineStr">
        <is>
          <t>Algorithmic Latency (ms)</t>
        </is>
      </c>
      <c r="R19" s="5" t="inlineStr">
        <is>
          <t>Parameter-Cap Values / Block</t>
        </is>
      </c>
      <c r="S19" s="5" t="inlineStr">
        <is>
          <t>Runtime State/Cache Accesses (R+W) / Call / Block</t>
        </is>
      </c>
      <c r="T19" s="5" t="inlineStr">
        <is>
          <t>Model-Params BW Total (MB/s)</t>
        </is>
      </c>
      <c r="U19" s="5" t="inlineStr">
        <is>
          <t>State/Cache BW Total (MB/s)</t>
        </is>
      </c>
      <c r="V19" s="5" t="inlineStr">
        <is>
          <t>Total BW (MB/s)</t>
        </is>
      </c>
    </row>
    <row r="20">
      <c r="A20" s="6" t="inlineStr">
        <is>
          <t>ISTFT synthesis window and overlap state</t>
        </is>
      </c>
      <c r="B20" s="6" t="inlineStr">
        <is>
          <t>ISTFT synthesis</t>
        </is>
      </c>
      <c r="C20" s="6" t="n">
        <v>1</v>
      </c>
      <c r="D20" s="6" t="inlineStr">
        <is>
          <t>Persistent window and streaming state; FFT MACs excluded</t>
        </is>
      </c>
      <c r="E20" s="6">
        <f>$B$3</f>
        <v/>
      </c>
      <c r="F20" s="6" t="n">
        <v>1</v>
      </c>
      <c r="G20" s="6" t="n">
        <v>1</v>
      </c>
      <c r="H20" s="6" t="n">
        <v>1</v>
      </c>
      <c r="I20" s="6" t="n">
        <v>1</v>
      </c>
      <c r="J20" s="7" t="n">
        <v>0</v>
      </c>
      <c r="K20" s="8">
        <f>C20*$B$5*J20/10^6</f>
        <v/>
      </c>
      <c r="L20" s="7" t="n">
        <v>0</v>
      </c>
      <c r="M20" s="7">
        <f>C20*L20</f>
        <v/>
      </c>
      <c r="N20" s="6">
        <f>($B$3-$B$4)/2</f>
        <v/>
      </c>
      <c r="O20" s="6">
        <f>($B$3-$B$4)/2</f>
        <v/>
      </c>
      <c r="P20" s="8">
        <f>C20*N20/$B$2*1000</f>
        <v/>
      </c>
      <c r="Q20" s="8">
        <f>C20*O20/$B$2*1000</f>
        <v/>
      </c>
      <c r="R20" s="7">
        <f>$B$3</f>
        <v/>
      </c>
      <c r="S20" s="7">
        <f>$B$17*($B$3-$B$4)+$B$18*($B$3-$B$4)</f>
        <v/>
      </c>
      <c r="T20" s="8">
        <f>C20*$B$5*$B$16*R20/10^6</f>
        <v/>
      </c>
      <c r="U20" s="8">
        <f>C20*$B$5*$B$16*S20/10^6</f>
        <v/>
      </c>
      <c r="V20" s="8">
        <f>SUM(T20:U20)</f>
        <v/>
      </c>
    </row>
    <row r="21">
      <c r="A21" s="9" t="inlineStr">
        <is>
          <t>Latent projection</t>
        </is>
      </c>
      <c r="B21" s="9" t="inlineStr">
        <is>
          <t>Decoder input</t>
        </is>
      </c>
      <c r="C21" s="9" t="n">
        <v>1</v>
      </c>
      <c r="D21" s="9" t="inlineStr">
        <is>
          <t>Causal Conv1d</t>
        </is>
      </c>
      <c r="E21" s="9" t="n">
        <v>3</v>
      </c>
      <c r="F21" s="9" t="n">
        <v>1</v>
      </c>
      <c r="G21" s="9">
        <f>$B$6</f>
        <v/>
      </c>
      <c r="H21" s="9">
        <f>$B$6</f>
        <v/>
      </c>
      <c r="I21" s="9" t="n">
        <v>1</v>
      </c>
      <c r="J21" s="10">
        <f>E21*G21*H21/I21</f>
        <v/>
      </c>
      <c r="K21" s="11">
        <f>C21*$B$5*J21/10^6</f>
        <v/>
      </c>
      <c r="L21" s="10">
        <f>J21+H21+0</f>
        <v/>
      </c>
      <c r="M21" s="10">
        <f>C21*L21</f>
        <v/>
      </c>
      <c r="N21" s="9" t="n">
        <v>2</v>
      </c>
      <c r="O21" s="9" t="n">
        <v>0</v>
      </c>
      <c r="P21" s="11">
        <f>C21*N21/$B$5*1000</f>
        <v/>
      </c>
      <c r="Q21" s="11">
        <f>C21*O21/$B$5*1000</f>
        <v/>
      </c>
      <c r="R21" s="10">
        <f>L21</f>
        <v/>
      </c>
      <c r="S21" s="10">
        <f>$B$17*(E21-1)*F21*G21+$B$18*(E21-1)*F21*G21</f>
        <v/>
      </c>
      <c r="T21" s="11">
        <f>C21*$B$5*$B$16*R21/10^6</f>
        <v/>
      </c>
      <c r="U21" s="11">
        <f>C21*$B$5*$B$16*S21/10^6</f>
        <v/>
      </c>
      <c r="V21" s="11">
        <f>SUM(T21:U21)</f>
        <v/>
      </c>
    </row>
    <row r="22" outlineLevel="1">
      <c r="A22" s="6" t="inlineStr">
        <is>
          <t>Residual convolution 1</t>
        </is>
      </c>
      <c r="B22" s="6" t="inlineStr">
        <is>
          <t>PosNet ResNet blocks 1–2</t>
        </is>
      </c>
      <c r="C22" s="6" t="n">
        <v>2</v>
      </c>
      <c r="D22" s="6" t="inlineStr">
        <is>
          <t>Causal Conv1d</t>
        </is>
      </c>
      <c r="E22" s="6" t="n">
        <v>3</v>
      </c>
      <c r="F22" s="6" t="n">
        <v>1</v>
      </c>
      <c r="G22" s="6">
        <f>$B$6</f>
        <v/>
      </c>
      <c r="H22" s="6">
        <f>$B$6</f>
        <v/>
      </c>
      <c r="I22" s="6" t="n">
        <v>1</v>
      </c>
      <c r="J22" s="7">
        <f>E22*G22*H22/I22</f>
        <v/>
      </c>
      <c r="K22" s="8">
        <f>C22*$B$5*J22/10^6</f>
        <v/>
      </c>
      <c r="L22" s="7">
        <f>J22+H22+2*$B$6</f>
        <v/>
      </c>
      <c r="M22" s="7">
        <f>C22*L22</f>
        <v/>
      </c>
      <c r="N22" s="6" t="n">
        <v>2</v>
      </c>
      <c r="O22" s="6" t="n">
        <v>0</v>
      </c>
      <c r="P22" s="8">
        <f>C22*N22/$B$5*1000</f>
        <v/>
      </c>
      <c r="Q22" s="8">
        <f>C22*O22/$B$5*1000</f>
        <v/>
      </c>
      <c r="R22" s="7">
        <f>L22</f>
        <v/>
      </c>
      <c r="S22" s="7">
        <f>$B$17*(E22-1)*F22*G22+$B$18*(E22-1)*F22*G22</f>
        <v/>
      </c>
      <c r="T22" s="8">
        <f>C22*$B$5*$B$16*R22/10^6</f>
        <v/>
      </c>
      <c r="U22" s="8">
        <f>C22*$B$5*$B$16*S22/10^6</f>
        <v/>
      </c>
      <c r="V22" s="8">
        <f>SUM(T22:U22)</f>
        <v/>
      </c>
    </row>
    <row r="23" outlineLevel="1">
      <c r="A23" s="6" t="inlineStr">
        <is>
          <t>Residual convolution 2</t>
        </is>
      </c>
      <c r="B23" s="6" t="inlineStr">
        <is>
          <t>PosNet ResNet blocks 1–2</t>
        </is>
      </c>
      <c r="C23" s="6" t="n">
        <v>2</v>
      </c>
      <c r="D23" s="6" t="inlineStr">
        <is>
          <t>Causal Conv1d</t>
        </is>
      </c>
      <c r="E23" s="6" t="n">
        <v>3</v>
      </c>
      <c r="F23" s="6" t="n">
        <v>1</v>
      </c>
      <c r="G23" s="6">
        <f>$B$6</f>
        <v/>
      </c>
      <c r="H23" s="6">
        <f>$B$6</f>
        <v/>
      </c>
      <c r="I23" s="6" t="n">
        <v>1</v>
      </c>
      <c r="J23" s="7">
        <f>E23*G23*H23/I23</f>
        <v/>
      </c>
      <c r="K23" s="8">
        <f>C23*$B$5*J23/10^6</f>
        <v/>
      </c>
      <c r="L23" s="7">
        <f>J23+H23+2*$B$6</f>
        <v/>
      </c>
      <c r="M23" s="7">
        <f>C23*L23</f>
        <v/>
      </c>
      <c r="N23" s="6" t="n">
        <v>2</v>
      </c>
      <c r="O23" s="6" t="n">
        <v>0</v>
      </c>
      <c r="P23" s="8">
        <f>C23*N23/$B$5*1000</f>
        <v/>
      </c>
      <c r="Q23" s="8">
        <f>C23*O23/$B$5*1000</f>
        <v/>
      </c>
      <c r="R23" s="7">
        <f>L23</f>
        <v/>
      </c>
      <c r="S23" s="7">
        <f>$B$17*(E23-1)*F23*G23+$B$18*(E23-1)*F23*G23</f>
        <v/>
      </c>
      <c r="T23" s="8">
        <f>C23*$B$5*$B$16*R23/10^6</f>
        <v/>
      </c>
      <c r="U23" s="8">
        <f>C23*$B$5*$B$16*S23/10^6</f>
        <v/>
      </c>
      <c r="V23" s="8">
        <f>SUM(T23:U23)</f>
        <v/>
      </c>
    </row>
    <row r="24">
      <c r="A24" s="9" t="inlineStr">
        <is>
          <t>QKV projection</t>
        </is>
      </c>
      <c r="B24" s="9" t="inlineStr">
        <is>
          <t>Bounded attention after PosNet block 2</t>
        </is>
      </c>
      <c r="C24" s="9" t="n">
        <v>1</v>
      </c>
      <c r="D24" s="9" t="inlineStr">
        <is>
          <t>Conv1d / linear projection</t>
        </is>
      </c>
      <c r="E24" s="9" t="n">
        <v>1</v>
      </c>
      <c r="F24" s="9" t="n">
        <v>1</v>
      </c>
      <c r="G24" s="9">
        <f>$B$6</f>
        <v/>
      </c>
      <c r="H24" s="9">
        <f>$B$8</f>
        <v/>
      </c>
      <c r="I24" s="9" t="n">
        <v>1</v>
      </c>
      <c r="J24" s="10">
        <f>E24*G24*H24/I24</f>
        <v/>
      </c>
      <c r="K24" s="11">
        <f>C24*$B$5*J24/10^6</f>
        <v/>
      </c>
      <c r="L24" s="10">
        <f>J24+H24+2*$B$6</f>
        <v/>
      </c>
      <c r="M24" s="10">
        <f>C24*L24</f>
        <v/>
      </c>
      <c r="N24" s="9" t="n">
        <v>0</v>
      </c>
      <c r="O24" s="9" t="n">
        <v>0</v>
      </c>
      <c r="P24" s="11">
        <f>C24*N24/$B$5*1000</f>
        <v/>
      </c>
      <c r="Q24" s="11">
        <f>C24*O24/$B$5*1000</f>
        <v/>
      </c>
      <c r="R24" s="10">
        <f>L24</f>
        <v/>
      </c>
      <c r="S24" s="10" t="n">
        <v>0</v>
      </c>
      <c r="T24" s="11">
        <f>C24*$B$5*$B$16*R24/10^6</f>
        <v/>
      </c>
      <c r="U24" s="11">
        <f>C24*$B$5*$B$16*S24/10^6</f>
        <v/>
      </c>
      <c r="V24" s="11">
        <f>SUM(T24:U24)</f>
        <v/>
      </c>
    </row>
    <row r="25">
      <c r="A25" s="9" t="inlineStr">
        <is>
          <t>RoPE phase generation</t>
        </is>
      </c>
      <c r="B25" s="9" t="inlineStr">
        <is>
          <t>Bounded attention after PosNet block 2</t>
        </is>
      </c>
      <c r="C25" s="9" t="n">
        <v>1</v>
      </c>
      <c r="D25" s="9" t="inlineStr">
        <is>
          <t>Position × derived inverse frequencies; sine/cosine arithmetic excluded</t>
        </is>
      </c>
      <c r="E25" s="9">
        <f>$B$14/2</f>
        <v/>
      </c>
      <c r="F25" s="9" t="n">
        <v>1</v>
      </c>
      <c r="G25" s="9">
        <f>$B$6</f>
        <v/>
      </c>
      <c r="H25" s="9">
        <f>$B$6</f>
        <v/>
      </c>
      <c r="I25" s="9" t="n">
        <v>1</v>
      </c>
      <c r="J25" s="10">
        <f>E25</f>
        <v/>
      </c>
      <c r="K25" s="11">
        <f>C25*$B$5*J25/10^6</f>
        <v/>
      </c>
      <c r="L25" s="10" t="n">
        <v>0</v>
      </c>
      <c r="M25" s="10">
        <f>C25*L25</f>
        <v/>
      </c>
      <c r="N25" s="9" t="n">
        <v>0</v>
      </c>
      <c r="O25" s="9" t="n">
        <v>0</v>
      </c>
      <c r="P25" s="11">
        <f>C25*N25/$B$5*1000</f>
        <v/>
      </c>
      <c r="Q25" s="11">
        <f>C25*O25/$B$5*1000</f>
        <v/>
      </c>
      <c r="R25" s="10" t="n">
        <v>0</v>
      </c>
      <c r="S25" s="10">
        <f>$B$17*($B$14/2)</f>
        <v/>
      </c>
      <c r="T25" s="11">
        <f>C25*$B$5*$B$16*R25/10^6</f>
        <v/>
      </c>
      <c r="U25" s="11">
        <f>C25*$B$5*$B$16*S25/10^6</f>
        <v/>
      </c>
      <c r="V25" s="11">
        <f>SUM(T25:U25)</f>
        <v/>
      </c>
    </row>
    <row r="26">
      <c r="A26" s="9" t="inlineStr">
        <is>
          <t>RoPE query rotation</t>
        </is>
      </c>
      <c r="B26" s="9" t="inlineStr">
        <is>
          <t>Bounded attention after PosNet block 2</t>
        </is>
      </c>
      <c r="C26" s="9" t="n">
        <v>1</v>
      </c>
      <c r="D26" s="9" t="inlineStr">
        <is>
          <t>Pairwise rotary transform of Q</t>
        </is>
      </c>
      <c r="E26" s="9">
        <f>$B$14</f>
        <v/>
      </c>
      <c r="F26" s="9" t="n">
        <v>1</v>
      </c>
      <c r="G26" s="9">
        <f>$B$6</f>
        <v/>
      </c>
      <c r="H26" s="9">
        <f>$B$6</f>
        <v/>
      </c>
      <c r="I26" s="9">
        <f>$B$12</f>
        <v/>
      </c>
      <c r="J26" s="10">
        <f>2*E26*I26</f>
        <v/>
      </c>
      <c r="K26" s="11">
        <f>C26*$B$5*J26/10^6</f>
        <v/>
      </c>
      <c r="L26" s="10" t="n">
        <v>0</v>
      </c>
      <c r="M26" s="10">
        <f>C26*L26</f>
        <v/>
      </c>
      <c r="N26" s="9" t="n">
        <v>0</v>
      </c>
      <c r="O26" s="9" t="n">
        <v>0</v>
      </c>
      <c r="P26" s="11">
        <f>C26*N26/$B$5*1000</f>
        <v/>
      </c>
      <c r="Q26" s="11">
        <f>C26*O26/$B$5*1000</f>
        <v/>
      </c>
      <c r="R26" s="10" t="n">
        <v>0</v>
      </c>
      <c r="S26" s="10" t="n">
        <v>0</v>
      </c>
      <c r="T26" s="11">
        <f>C26*$B$5*$B$16*R26/10^6</f>
        <v/>
      </c>
      <c r="U26" s="11">
        <f>C26*$B$5*$B$16*S26/10^6</f>
        <v/>
      </c>
      <c r="V26" s="11">
        <f>SUM(T26:U26)</f>
        <v/>
      </c>
    </row>
    <row r="27">
      <c r="A27" s="9" t="inlineStr">
        <is>
          <t>RoPE key rotation</t>
        </is>
      </c>
      <c r="B27" s="9" t="inlineStr">
        <is>
          <t>Bounded attention after PosNet block 2</t>
        </is>
      </c>
      <c r="C27" s="9" t="n">
        <v>1</v>
      </c>
      <c r="D27" s="9" t="inlineStr">
        <is>
          <t>Pairwise rotary transform of K before cache use</t>
        </is>
      </c>
      <c r="E27" s="9">
        <f>$B$14</f>
        <v/>
      </c>
      <c r="F27" s="9" t="n">
        <v>1</v>
      </c>
      <c r="G27" s="9">
        <f>$B$6</f>
        <v/>
      </c>
      <c r="H27" s="9">
        <f>$B$6</f>
        <v/>
      </c>
      <c r="I27" s="9">
        <f>$B$12</f>
        <v/>
      </c>
      <c r="J27" s="10">
        <f>2*E27*I27</f>
        <v/>
      </c>
      <c r="K27" s="11">
        <f>C27*$B$5*J27/10^6</f>
        <v/>
      </c>
      <c r="L27" s="10" t="n">
        <v>0</v>
      </c>
      <c r="M27" s="10">
        <f>C27*L27</f>
        <v/>
      </c>
      <c r="N27" s="9" t="n">
        <v>0</v>
      </c>
      <c r="O27" s="9" t="n">
        <v>0</v>
      </c>
      <c r="P27" s="11">
        <f>C27*N27/$B$5*1000</f>
        <v/>
      </c>
      <c r="Q27" s="11">
        <f>C27*O27/$B$5*1000</f>
        <v/>
      </c>
      <c r="R27" s="10" t="n">
        <v>0</v>
      </c>
      <c r="S27" s="10" t="n">
        <v>0</v>
      </c>
      <c r="T27" s="11">
        <f>C27*$B$5*$B$16*R27/10^6</f>
        <v/>
      </c>
      <c r="U27" s="11">
        <f>C27*$B$5*$B$16*S27/10^6</f>
        <v/>
      </c>
      <c r="V27" s="11">
        <f>SUM(T27:U27)</f>
        <v/>
      </c>
    </row>
    <row r="28">
      <c r="A28" s="9" t="inlineStr">
        <is>
          <t>Query-key score product</t>
        </is>
      </c>
      <c r="B28" s="9" t="inlineStr">
        <is>
          <t>Bounded attention after PosNet block 2</t>
        </is>
      </c>
      <c r="C28" s="9" t="n">
        <v>1</v>
      </c>
      <c r="D28" s="9" t="inlineStr">
        <is>
          <t>Q × Kᵀ (configured bounded context)</t>
        </is>
      </c>
      <c r="E28" s="9">
        <f>$B$10+$B$11</f>
        <v/>
      </c>
      <c r="F28" s="9" t="n">
        <v>1</v>
      </c>
      <c r="G28" s="9">
        <f>$B$6</f>
        <v/>
      </c>
      <c r="H28" s="9">
        <f>$B$6</f>
        <v/>
      </c>
      <c r="I28" s="9">
        <f>$B$12</f>
        <v/>
      </c>
      <c r="J28" s="10">
        <f>I28*E28*(G28/I28)</f>
        <v/>
      </c>
      <c r="K28" s="11">
        <f>C28*$B$5*J28/10^6</f>
        <v/>
      </c>
      <c r="L28" s="10" t="n">
        <v>0</v>
      </c>
      <c r="M28" s="10">
        <f>C28*L28</f>
        <v/>
      </c>
      <c r="N28" s="9">
        <f>$B$10-1</f>
        <v/>
      </c>
      <c r="O28" s="9">
        <f>$B$11</f>
        <v/>
      </c>
      <c r="P28" s="11">
        <f>C28*N28/$B$5*1000</f>
        <v/>
      </c>
      <c r="Q28" s="11">
        <f>C28*O28/$B$5*1000</f>
        <v/>
      </c>
      <c r="R28" s="10" t="n">
        <v>0</v>
      </c>
      <c r="S28" s="10">
        <f>$B$17*($B$10-1+$B$11)*G28+$B$18*G28</f>
        <v/>
      </c>
      <c r="T28" s="11">
        <f>C28*$B$5*$B$16*R28/10^6</f>
        <v/>
      </c>
      <c r="U28" s="11">
        <f>C28*$B$5*$B$16*S28/10^6</f>
        <v/>
      </c>
      <c r="V28" s="11">
        <f>SUM(T28:U28)</f>
        <v/>
      </c>
    </row>
    <row r="29">
      <c r="A29" s="9" t="inlineStr">
        <is>
          <t>Attention-weighted value product</t>
        </is>
      </c>
      <c r="B29" s="9" t="inlineStr">
        <is>
          <t>Bounded attention after PosNet block 2</t>
        </is>
      </c>
      <c r="C29" s="9" t="n">
        <v>1</v>
      </c>
      <c r="D29" s="9" t="inlineStr">
        <is>
          <t>softmax(QKᵀ) × V</t>
        </is>
      </c>
      <c r="E29" s="9">
        <f>$B$10+$B$11</f>
        <v/>
      </c>
      <c r="F29" s="9" t="n">
        <v>1</v>
      </c>
      <c r="G29" s="9">
        <f>$B$6</f>
        <v/>
      </c>
      <c r="H29" s="9">
        <f>$B$6</f>
        <v/>
      </c>
      <c r="I29" s="9">
        <f>$B$12</f>
        <v/>
      </c>
      <c r="J29" s="10">
        <f>I29*E29*(G29/I29)</f>
        <v/>
      </c>
      <c r="K29" s="11">
        <f>C29*$B$5*J29/10^6</f>
        <v/>
      </c>
      <c r="L29" s="10" t="n">
        <v>0</v>
      </c>
      <c r="M29" s="10">
        <f>C29*L29</f>
        <v/>
      </c>
      <c r="N29" s="9" t="n">
        <v>0</v>
      </c>
      <c r="O29" s="9" t="n">
        <v>0</v>
      </c>
      <c r="P29" s="11">
        <f>C29*N29/$B$5*1000</f>
        <v/>
      </c>
      <c r="Q29" s="11">
        <f>C29*O29/$B$5*1000</f>
        <v/>
      </c>
      <c r="R29" s="10" t="n">
        <v>0</v>
      </c>
      <c r="S29" s="10">
        <f>$B$17*($B$10-1+$B$11)*G29+$B$18*G29</f>
        <v/>
      </c>
      <c r="T29" s="11">
        <f>C29*$B$5*$B$16*R29/10^6</f>
        <v/>
      </c>
      <c r="U29" s="11">
        <f>C29*$B$5*$B$16*S29/10^6</f>
        <v/>
      </c>
      <c r="V29" s="11">
        <f>SUM(T29:U29)</f>
        <v/>
      </c>
    </row>
    <row r="30">
      <c r="A30" s="9" t="inlineStr">
        <is>
          <t>Attention output projection</t>
        </is>
      </c>
      <c r="B30" s="9" t="inlineStr">
        <is>
          <t>Bounded attention after PosNet block 2</t>
        </is>
      </c>
      <c r="C30" s="9" t="n">
        <v>1</v>
      </c>
      <c r="D30" s="9" t="inlineStr">
        <is>
          <t>Conv1d / linear projection</t>
        </is>
      </c>
      <c r="E30" s="9" t="n">
        <v>1</v>
      </c>
      <c r="F30" s="9" t="n">
        <v>1</v>
      </c>
      <c r="G30" s="9">
        <f>$B$6</f>
        <v/>
      </c>
      <c r="H30" s="9">
        <f>$B$6</f>
        <v/>
      </c>
      <c r="I30" s="9" t="n">
        <v>1</v>
      </c>
      <c r="J30" s="10">
        <f>E30*G30*H30/I30</f>
        <v/>
      </c>
      <c r="K30" s="11">
        <f>C30*$B$5*J30/10^6</f>
        <v/>
      </c>
      <c r="L30" s="10">
        <f>J30+H30+0</f>
        <v/>
      </c>
      <c r="M30" s="10">
        <f>C30*L30</f>
        <v/>
      </c>
      <c r="N30" s="9" t="n">
        <v>0</v>
      </c>
      <c r="O30" s="9" t="n">
        <v>0</v>
      </c>
      <c r="P30" s="11">
        <f>C30*N30/$B$5*1000</f>
        <v/>
      </c>
      <c r="Q30" s="11">
        <f>C30*O30/$B$5*1000</f>
        <v/>
      </c>
      <c r="R30" s="10">
        <f>L30</f>
        <v/>
      </c>
      <c r="S30" s="10" t="n">
        <v>0</v>
      </c>
      <c r="T30" s="11">
        <f>C30*$B$5*$B$16*R30/10^6</f>
        <v/>
      </c>
      <c r="U30" s="11">
        <f>C30*$B$5*$B$16*S30/10^6</f>
        <v/>
      </c>
      <c r="V30" s="11">
        <f>SUM(T30:U30)</f>
        <v/>
      </c>
    </row>
    <row r="31" outlineLevel="1">
      <c r="A31" s="6" t="inlineStr">
        <is>
          <t>Residual convolution 1</t>
        </is>
      </c>
      <c r="B31" s="6" t="inlineStr">
        <is>
          <t>PosNet ResNet blocks 3–4</t>
        </is>
      </c>
      <c r="C31" s="6" t="n">
        <v>2</v>
      </c>
      <c r="D31" s="6" t="inlineStr">
        <is>
          <t>Causal Conv1d</t>
        </is>
      </c>
      <c r="E31" s="6" t="n">
        <v>3</v>
      </c>
      <c r="F31" s="6" t="n">
        <v>1</v>
      </c>
      <c r="G31" s="6">
        <f>$B$6</f>
        <v/>
      </c>
      <c r="H31" s="6">
        <f>$B$6</f>
        <v/>
      </c>
      <c r="I31" s="6" t="n">
        <v>2</v>
      </c>
      <c r="J31" s="7">
        <f>E31*G31*H31/I31</f>
        <v/>
      </c>
      <c r="K31" s="8">
        <f>C31*$B$5*J31/10^6</f>
        <v/>
      </c>
      <c r="L31" s="7">
        <f>J31+H31+2*$B$6</f>
        <v/>
      </c>
      <c r="M31" s="7">
        <f>C31*L31</f>
        <v/>
      </c>
      <c r="N31" s="6" t="n">
        <v>2</v>
      </c>
      <c r="O31" s="6" t="n">
        <v>0</v>
      </c>
      <c r="P31" s="8">
        <f>C31*N31/$B$5*1000</f>
        <v/>
      </c>
      <c r="Q31" s="8">
        <f>C31*O31/$B$5*1000</f>
        <v/>
      </c>
      <c r="R31" s="7">
        <f>L31</f>
        <v/>
      </c>
      <c r="S31" s="7">
        <f>$B$17*(E31-1)*F31*G31+$B$18*(E31-1)*F31*G31</f>
        <v/>
      </c>
      <c r="T31" s="8">
        <f>C31*$B$5*$B$16*R31/10^6</f>
        <v/>
      </c>
      <c r="U31" s="8">
        <f>C31*$B$5*$B$16*S31/10^6</f>
        <v/>
      </c>
      <c r="V31" s="8">
        <f>SUM(T31:U31)</f>
        <v/>
      </c>
    </row>
    <row r="32" outlineLevel="1">
      <c r="A32" s="6" t="inlineStr">
        <is>
          <t>Residual convolution 2</t>
        </is>
      </c>
      <c r="B32" s="6" t="inlineStr">
        <is>
          <t>PosNet ResNet blocks 3–4</t>
        </is>
      </c>
      <c r="C32" s="6" t="n">
        <v>2</v>
      </c>
      <c r="D32" s="6" t="inlineStr">
        <is>
          <t>Causal Conv1d</t>
        </is>
      </c>
      <c r="E32" s="6" t="n">
        <v>3</v>
      </c>
      <c r="F32" s="6" t="n">
        <v>1</v>
      </c>
      <c r="G32" s="6">
        <f>$B$6</f>
        <v/>
      </c>
      <c r="H32" s="6">
        <f>$B$6</f>
        <v/>
      </c>
      <c r="I32" s="6" t="n">
        <v>2</v>
      </c>
      <c r="J32" s="7">
        <f>E32*G32*H32/I32</f>
        <v/>
      </c>
      <c r="K32" s="8">
        <f>C32*$B$5*J32/10^6</f>
        <v/>
      </c>
      <c r="L32" s="7">
        <f>J32+H32+2*$B$6</f>
        <v/>
      </c>
      <c r="M32" s="7">
        <f>C32*L32</f>
        <v/>
      </c>
      <c r="N32" s="6" t="n">
        <v>2</v>
      </c>
      <c r="O32" s="6" t="n">
        <v>0</v>
      </c>
      <c r="P32" s="8">
        <f>C32*N32/$B$5*1000</f>
        <v/>
      </c>
      <c r="Q32" s="8">
        <f>C32*O32/$B$5*1000</f>
        <v/>
      </c>
      <c r="R32" s="7">
        <f>L32</f>
        <v/>
      </c>
      <c r="S32" s="7">
        <f>$B$17*(E32-1)*F32*G32+$B$18*(E32-1)*F32*G32</f>
        <v/>
      </c>
      <c r="T32" s="8">
        <f>C32*$B$5*$B$16*R32/10^6</f>
        <v/>
      </c>
      <c r="U32" s="8">
        <f>C32*$B$5*$B$16*S32/10^6</f>
        <v/>
      </c>
      <c r="V32" s="8">
        <f>SUM(T32:U32)</f>
        <v/>
      </c>
    </row>
    <row r="33" outlineLevel="1">
      <c r="A33" s="9" t="inlineStr">
        <is>
          <t>Depthwise convolution</t>
        </is>
      </c>
      <c r="B33" s="9" t="inlineStr">
        <is>
          <t>ConvNeXt blocks 1–6</t>
        </is>
      </c>
      <c r="C33" s="9" t="n">
        <v>6</v>
      </c>
      <c r="D33" s="9" t="inlineStr">
        <is>
          <t>Causal Conv1d</t>
        </is>
      </c>
      <c r="E33" s="9" t="n">
        <v>7</v>
      </c>
      <c r="F33" s="9" t="n">
        <v>1</v>
      </c>
      <c r="G33" s="9">
        <f>$B$6</f>
        <v/>
      </c>
      <c r="H33" s="9">
        <f>$B$6</f>
        <v/>
      </c>
      <c r="I33" s="9">
        <f>$B$6</f>
        <v/>
      </c>
      <c r="J33" s="10">
        <f>E33*G33*H33/I33</f>
        <v/>
      </c>
      <c r="K33" s="11">
        <f>C33*$B$5*J33/10^6</f>
        <v/>
      </c>
      <c r="L33" s="10">
        <f>J33+H33+2*$B$6</f>
        <v/>
      </c>
      <c r="M33" s="10">
        <f>C33*L33</f>
        <v/>
      </c>
      <c r="N33" s="9" t="n">
        <v>6</v>
      </c>
      <c r="O33" s="9" t="n">
        <v>0</v>
      </c>
      <c r="P33" s="11">
        <f>C33*N33/$B$5*1000</f>
        <v/>
      </c>
      <c r="Q33" s="11">
        <f>C33*O33/$B$5*1000</f>
        <v/>
      </c>
      <c r="R33" s="10">
        <f>L33</f>
        <v/>
      </c>
      <c r="S33" s="10">
        <f>$B$17*(E33-1)*F33*G33+$B$18*(E33-1)*F33*G33</f>
        <v/>
      </c>
      <c r="T33" s="11">
        <f>C33*$B$5*$B$16*R33/10^6</f>
        <v/>
      </c>
      <c r="U33" s="11">
        <f>C33*$B$5*$B$16*S33/10^6</f>
        <v/>
      </c>
      <c r="V33" s="11">
        <f>SUM(T33:U33)</f>
        <v/>
      </c>
    </row>
    <row r="34" outlineLevel="1">
      <c r="A34" s="9" t="inlineStr">
        <is>
          <t>Pointwise input projection</t>
        </is>
      </c>
      <c r="B34" s="9" t="inlineStr">
        <is>
          <t>ConvNeXt blocks 1–6</t>
        </is>
      </c>
      <c r="C34" s="9" t="n">
        <v>6</v>
      </c>
      <c r="D34" s="9" t="inlineStr">
        <is>
          <t>Conv1d / linear projection</t>
        </is>
      </c>
      <c r="E34" s="9" t="n">
        <v>1</v>
      </c>
      <c r="F34" s="9" t="n">
        <v>1</v>
      </c>
      <c r="G34" s="9">
        <f>$B$6</f>
        <v/>
      </c>
      <c r="H34" s="9">
        <f>$B$7</f>
        <v/>
      </c>
      <c r="I34" s="9" t="n">
        <v>1</v>
      </c>
      <c r="J34" s="10">
        <f>E34*G34*H34/I34</f>
        <v/>
      </c>
      <c r="K34" s="11">
        <f>C34*$B$5*J34/10^6</f>
        <v/>
      </c>
      <c r="L34" s="10">
        <f>J34+H34+0</f>
        <v/>
      </c>
      <c r="M34" s="10">
        <f>C34*L34</f>
        <v/>
      </c>
      <c r="N34" s="9" t="n">
        <v>0</v>
      </c>
      <c r="O34" s="9" t="n">
        <v>0</v>
      </c>
      <c r="P34" s="11">
        <f>C34*N34/$B$5*1000</f>
        <v/>
      </c>
      <c r="Q34" s="11">
        <f>C34*O34/$B$5*1000</f>
        <v/>
      </c>
      <c r="R34" s="10">
        <f>L34</f>
        <v/>
      </c>
      <c r="S34" s="10" t="n">
        <v>0</v>
      </c>
      <c r="T34" s="11">
        <f>C34*$B$5*$B$16*R34/10^6</f>
        <v/>
      </c>
      <c r="U34" s="11">
        <f>C34*$B$5*$B$16*S34/10^6</f>
        <v/>
      </c>
      <c r="V34" s="11">
        <f>SUM(T34:U34)</f>
        <v/>
      </c>
    </row>
    <row r="35" outlineLevel="1">
      <c r="A35" s="9" t="inlineStr">
        <is>
          <t>Pointwise output projection</t>
        </is>
      </c>
      <c r="B35" s="9" t="inlineStr">
        <is>
          <t>ConvNeXt blocks 1–6</t>
        </is>
      </c>
      <c r="C35" s="9" t="n">
        <v>6</v>
      </c>
      <c r="D35" s="9" t="inlineStr">
        <is>
          <t>Conv1d / linear projection</t>
        </is>
      </c>
      <c r="E35" s="9" t="n">
        <v>1</v>
      </c>
      <c r="F35" s="9" t="n">
        <v>1</v>
      </c>
      <c r="G35" s="9">
        <f>$B$7</f>
        <v/>
      </c>
      <c r="H35" s="9">
        <f>$B$6</f>
        <v/>
      </c>
      <c r="I35" s="9" t="n">
        <v>1</v>
      </c>
      <c r="J35" s="10">
        <f>E35*G35*H35/I35</f>
        <v/>
      </c>
      <c r="K35" s="11">
        <f>C35*$B$5*J35/10^6</f>
        <v/>
      </c>
      <c r="L35" s="10">
        <f>J35+H35+0</f>
        <v/>
      </c>
      <c r="M35" s="10">
        <f>C35*L35</f>
        <v/>
      </c>
      <c r="N35" s="9" t="n">
        <v>0</v>
      </c>
      <c r="O35" s="9" t="n">
        <v>0</v>
      </c>
      <c r="P35" s="11">
        <f>C35*N35/$B$5*1000</f>
        <v/>
      </c>
      <c r="Q35" s="11">
        <f>C35*O35/$B$5*1000</f>
        <v/>
      </c>
      <c r="R35" s="10">
        <f>L35</f>
        <v/>
      </c>
      <c r="S35" s="10" t="n">
        <v>0</v>
      </c>
      <c r="T35" s="11">
        <f>C35*$B$5*$B$16*R35/10^6</f>
        <v/>
      </c>
      <c r="U35" s="11">
        <f>C35*$B$5*$B$16*S35/10^6</f>
        <v/>
      </c>
      <c r="V35" s="11">
        <f>SUM(T35:U35)</f>
        <v/>
      </c>
    </row>
    <row r="36">
      <c r="A36" s="6" t="inlineStr">
        <is>
          <t>Complex-spectrum output projection</t>
        </is>
      </c>
      <c r="B36" s="6" t="inlineStr">
        <is>
          <t>Decoder output</t>
        </is>
      </c>
      <c r="C36" s="6" t="n">
        <v>1</v>
      </c>
      <c r="D36" s="6" t="inlineStr">
        <is>
          <t>Conv1d / linear projection</t>
        </is>
      </c>
      <c r="E36" s="6" t="n">
        <v>1</v>
      </c>
      <c r="F36" s="6" t="n">
        <v>1</v>
      </c>
      <c r="G36" s="6">
        <f>$B$6</f>
        <v/>
      </c>
      <c r="H36" s="6">
        <f>$B$9</f>
        <v/>
      </c>
      <c r="I36" s="6" t="n">
        <v>1</v>
      </c>
      <c r="J36" s="7">
        <f>E36*G36*H36/I36</f>
        <v/>
      </c>
      <c r="K36" s="8">
        <f>C36*$B$5*J36/10^6</f>
        <v/>
      </c>
      <c r="L36" s="7">
        <f>J36+H36+4*$B$6</f>
        <v/>
      </c>
      <c r="M36" s="7">
        <f>C36*L36</f>
        <v/>
      </c>
      <c r="N36" s="6" t="n">
        <v>0</v>
      </c>
      <c r="O36" s="6" t="n">
        <v>0</v>
      </c>
      <c r="P36" s="8">
        <f>C36*N36/$B$5*1000</f>
        <v/>
      </c>
      <c r="Q36" s="8">
        <f>C36*O36/$B$5*1000</f>
        <v/>
      </c>
      <c r="R36" s="7">
        <f>L36</f>
        <v/>
      </c>
      <c r="S36" s="7" t="n">
        <v>0</v>
      </c>
      <c r="T36" s="8">
        <f>C36*$B$5*$B$16*R36/10^6</f>
        <v/>
      </c>
      <c r="U36" s="8">
        <f>C36*$B$5*$B$16*S36/10^6</f>
        <v/>
      </c>
      <c r="V36" s="8">
        <f>SUM(T36:U36)</f>
        <v/>
      </c>
    </row>
    <row r="37">
      <c r="A37" s="12" t="inlineStr">
        <is>
          <t>Formula-based total</t>
        </is>
      </c>
      <c r="B37" s="12" t="n"/>
      <c r="C37" s="12" t="n"/>
      <c r="D37" s="12" t="n"/>
      <c r="E37" s="12" t="n"/>
      <c r="F37" s="12" t="n"/>
      <c r="G37" s="12" t="n"/>
      <c r="H37" s="12" t="n"/>
      <c r="I37" s="12" t="n"/>
      <c r="J37" s="12" t="n"/>
      <c r="K37" s="12">
        <f>SUM(K20:K36)</f>
        <v/>
      </c>
      <c r="L37" s="12" t="n"/>
      <c r="M37" s="12">
        <f>SUM(M20:M36)</f>
        <v/>
      </c>
      <c r="N37" s="12" t="n"/>
      <c r="O37" s="12" t="n"/>
      <c r="P37" s="12">
        <f>SUM(P20:P36)</f>
        <v/>
      </c>
      <c r="Q37" s="12">
        <f>SUM(Q20:Q36)</f>
        <v/>
      </c>
      <c r="R37" s="12">
        <f>SUMPRODUCT(C20:C36,R20:R36)</f>
        <v/>
      </c>
      <c r="S37" s="12" t="n"/>
      <c r="T37" s="12">
        <f>SUM(T20:T36)</f>
        <v/>
      </c>
      <c r="U37" s="12">
        <f>SUM(U20:U36)</f>
        <v/>
      </c>
      <c r="V37" s="12">
        <f>SUM(T37:U37)</f>
        <v/>
      </c>
    </row>
    <row r="38">
      <c r="A38" s="13" t="inlineStr">
        <is>
          <t>Total compute (MFLOPS)</t>
        </is>
      </c>
      <c r="B38" s="13" t="n"/>
      <c r="C38" s="13" t="n"/>
      <c r="D38" s="13" t="n"/>
      <c r="E38" s="13" t="n"/>
      <c r="F38" s="13" t="n"/>
      <c r="G38" s="13" t="n"/>
      <c r="H38" s="13" t="n"/>
      <c r="I38" s="13" t="n"/>
      <c r="J38" s="13" t="n"/>
      <c r="K38" s="13">
        <f>K37*2</f>
        <v/>
      </c>
      <c r="L38" s="13" t="n"/>
      <c r="M38" s="13" t="n"/>
      <c r="N38" s="13" t="n"/>
      <c r="O38" s="13" t="n"/>
      <c r="P38" s="13" t="n"/>
      <c r="Q38" s="13" t="n"/>
      <c r="R38" s="13" t="n"/>
      <c r="S38" s="13" t="n"/>
      <c r="T38" s="13" t="n"/>
      <c r="U38" s="13" t="n"/>
      <c r="V38" s="13" t="n"/>
    </row>
    <row r="40">
      <c r="A40" s="4" t="inlineStr">
        <is>
          <t>Memory bandwidth uses the bytes-per-value setting in B16 and includes model parameters, model buffers, convolution state, and attention KV-cache. Parameter-cap values include trainable parameters and non-runtime model buffers required for inference. Runtime state/cache is excluded from the parameter cap, but its read/write traffic is included in memory bandwidth. Intermediate activations are excluded by the challenge convention. Attention MACs assume that the configured context buffer is fully populated; startup frames require less compute. FOV left is history, not latency; only FOV right contributes to algorithmic latency. STFT/ISTFT frames use centred hop alignment and have (FFT size - hop) / 2 samples of left and right context. Their overlap state remains FFT size - hop samples. Window and overlap-state bandwidth is shown explicitly in the first table row; FFT arithmetic is excluded.</t>
        </is>
      </c>
    </row>
    <row r="41"/>
  </sheetData>
  <autoFilter ref="A19:V36"/>
  <mergeCells count="3">
    <mergeCell ref="A1:V1"/>
    <mergeCell ref="D2:V18"/>
    <mergeCell ref="A40:V41"/>
  </mergeCells>
  <pageMargins left="0.75" right="0.75" top="1" bottom="1" header="0.5" footer="0.5"/>
  <pageSetup orientation="landscape" fitToHeight="0"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24"/>
  <sheetViews>
    <sheetView workbookViewId="0">
      <pane ySplit="3" topLeftCell="A4" activePane="bottomLeft" state="frozen"/>
      <selection pane="bottomLeft" activeCell="A1" sqref="A1"/>
    </sheetView>
  </sheetViews>
  <sheetFormatPr baseColWidth="8" defaultRowHeight="15"/>
  <cols>
    <col width="45" customWidth="1" min="1" max="1"/>
    <col width="26" customWidth="1" min="2" max="2"/>
    <col width="18" customWidth="1" min="3" max="3"/>
    <col width="18" customWidth="1" min="4" max="4"/>
    <col width="20" customWidth="1" min="5" max="5"/>
  </cols>
  <sheetData>
    <row r="1" ht="25" customHeight="1">
      <c r="A1" s="1" t="inlineStr">
        <is>
          <t>VoCodec LRAC 2 Track 2 Summary — 100 Hz / 24-layer / RoPE / 1.5M cap</t>
        </is>
      </c>
    </row>
    <row r="3">
      <c r="A3" s="5" t="inlineStr">
        <is>
          <t>Measurement</t>
        </is>
      </c>
      <c r="B3" s="5" t="inlineStr">
        <is>
          <t>Model</t>
        </is>
      </c>
      <c r="C3" s="5" t="inlineStr">
        <is>
          <t>Budget</t>
        </is>
      </c>
      <c r="D3" s="5" t="inlineStr">
        <is>
          <t>Margin</t>
        </is>
      </c>
      <c r="E3" s="5" t="inlineStr">
        <is>
          <t>Status</t>
        </is>
      </c>
    </row>
    <row r="4">
      <c r="A4" s="9" t="inlineStr">
        <is>
          <t>Transmit compute (MFLOPS)</t>
        </is>
      </c>
      <c r="B4" s="9">
        <f>'Encoder-Track2'!K37*2+'VQ-Transmit-Track2'!I4</f>
        <v/>
      </c>
      <c r="C4" s="9" t="n">
        <v>400</v>
      </c>
      <c r="D4" s="9">
        <f>C4-B4</f>
        <v/>
      </c>
      <c r="E4" s="12">
        <f>IF(B4&lt;=C4,"PASS","OVER BUDGET")</f>
        <v/>
      </c>
    </row>
    <row r="5">
      <c r="A5" s="9" t="inlineStr">
        <is>
          <t>Receive compute (MFLOPS)</t>
        </is>
      </c>
      <c r="B5" s="9">
        <f>'VQ-Receive-Track2'!G4+'Decoder-Track2'!K37*2</f>
        <v/>
      </c>
      <c r="C5" s="9" t="n">
        <v>300</v>
      </c>
      <c r="D5" s="9">
        <f>C5-B5</f>
        <v/>
      </c>
      <c r="E5" s="12">
        <f>IF(B5&lt;=C5,"PASS","OVER BUDGET")</f>
        <v/>
      </c>
    </row>
    <row r="6">
      <c r="A6" s="9" t="inlineStr">
        <is>
          <t>Buffering latency (ms)</t>
        </is>
      </c>
      <c r="B6" s="9">
        <f>'Encoder-Track2'!$B$15</f>
        <v/>
      </c>
      <c r="C6" s="9" t="inlineStr"/>
      <c r="D6" s="9" t="inlineStr"/>
      <c r="E6" s="9" t="inlineStr"/>
    </row>
    <row r="7">
      <c r="A7" s="9" t="inlineStr">
        <is>
          <t>Algorithmic latency (ms)</t>
        </is>
      </c>
      <c r="B7" s="9">
        <f>'Encoder-Track2'!Q37+'Decoder-Track2'!Q37</f>
        <v/>
      </c>
      <c r="C7" s="9" t="inlineStr"/>
      <c r="D7" s="9" t="inlineStr"/>
      <c r="E7" s="9" t="inlineStr"/>
    </row>
    <row r="8">
      <c r="A8" s="9" t="inlineStr">
        <is>
          <t>Total latency (ms)</t>
        </is>
      </c>
      <c r="B8" s="9">
        <f>SUM(B6:B7)</f>
        <v/>
      </c>
      <c r="C8" s="9" t="n">
        <v>30</v>
      </c>
      <c r="D8" s="9">
        <f>C8-B8</f>
        <v/>
      </c>
      <c r="E8" s="12">
        <f>IF(B8&lt;=C8,"PASS","OVER BUDGET")</f>
        <v/>
      </c>
    </row>
    <row r="9">
      <c r="A9" s="9" t="inlineStr">
        <is>
          <t>Maximum native bitrate (kbps)</t>
        </is>
      </c>
      <c r="B9" s="9">
        <f>'VQ-Transmit-Track2'!L4</f>
        <v/>
      </c>
      <c r="C9" s="9" t="inlineStr"/>
      <c r="D9" s="9" t="inlineStr"/>
      <c r="E9" s="9" t="inlineStr"/>
    </row>
    <row r="10">
      <c r="A10" s="9" t="inlineStr">
        <is>
          <t>Generator trainable parameters</t>
        </is>
      </c>
      <c r="B10" s="9">
        <f>'Encoder-Track2'!M37+'VQ-Transmit-Track2'!K4+'Decoder-Track2'!M37</f>
        <v/>
      </c>
      <c r="C10" s="9" t="inlineStr"/>
      <c r="D10" s="9" t="inlineStr"/>
      <c r="E10" s="9" t="inlineStr"/>
    </row>
    <row r="11">
      <c r="A11" s="9" t="inlineStr">
        <is>
          <t>Parameter-cap values (parameters + model buffers)</t>
        </is>
      </c>
      <c r="B11" s="9">
        <f>'Encoder-Track2'!R37+'VQ-Transmit-Track2'!K4+'Decoder-Track2'!R37</f>
        <v/>
      </c>
      <c r="C11" s="9" t="n">
        <v>1500000</v>
      </c>
      <c r="D11" s="9">
        <f>C11-B11</f>
        <v/>
      </c>
      <c r="E11" s="12">
        <f>IF(B11&lt;=C11,"PASS","OVER BUDGET")</f>
        <v/>
      </c>
    </row>
    <row r="13">
      <c r="A13" s="14" t="inlineStr">
        <is>
          <t>MEMORY BANDWIDTH AT MAXIMUM BITRATE</t>
        </is>
      </c>
    </row>
    <row r="14">
      <c r="A14" s="9" t="inlineStr">
        <is>
          <t>Encoder memory bandwidth (MB/s)</t>
        </is>
      </c>
      <c r="B14" s="11">
        <f>'Encoder-Track2'!V37</f>
        <v/>
      </c>
      <c r="C14" s="9" t="n"/>
      <c r="D14" s="9" t="n"/>
      <c r="E14" s="9" t="n"/>
    </row>
    <row r="15">
      <c r="A15" s="9" t="inlineStr">
        <is>
          <t>RVQ transmit memory bandwidth (MB/s)</t>
        </is>
      </c>
      <c r="B15" s="11">
        <f>'VQ-Transmit-Track2'!U4</f>
        <v/>
      </c>
      <c r="C15" s="9" t="n"/>
      <c r="D15" s="9" t="n"/>
      <c r="E15" s="9" t="n"/>
    </row>
    <row r="16">
      <c r="A16" s="9" t="inlineStr">
        <is>
          <t>RVQ receive memory bandwidth (MB/s)</t>
        </is>
      </c>
      <c r="B16" s="11">
        <f>'VQ-Receive-Track2'!P4</f>
        <v/>
      </c>
      <c r="C16" s="9" t="n"/>
      <c r="D16" s="9" t="n"/>
      <c r="E16" s="9" t="n"/>
    </row>
    <row r="17">
      <c r="A17" s="9" t="inlineStr">
        <is>
          <t>Decoder memory bandwidth (MB/s)</t>
        </is>
      </c>
      <c r="B17" s="11">
        <f>'Decoder-Track2'!V37</f>
        <v/>
      </c>
      <c r="C17" s="9" t="n"/>
      <c r="D17" s="9" t="n"/>
      <c r="E17" s="9" t="n"/>
    </row>
    <row r="18">
      <c r="A18" s="9" t="inlineStr">
        <is>
          <t>Total codec memory bandwidth (MB/s)</t>
        </is>
      </c>
      <c r="B18" s="11">
        <f>SUM(B14:B17)</f>
        <v/>
      </c>
      <c r="C18" s="9" t="n"/>
      <c r="D18" s="9" t="n"/>
      <c r="E18" s="9" t="n"/>
    </row>
    <row r="19">
      <c r="A19" s="9" t="inlineStr">
        <is>
          <t>Penalty maximum P_max</t>
        </is>
      </c>
      <c r="B19" s="15" t="n">
        <v>15</v>
      </c>
      <c r="C19" s="9" t="n"/>
      <c r="D19" s="9" t="n"/>
      <c r="E19" s="9" t="n"/>
    </row>
    <row r="20">
      <c r="A20" s="9" t="inlineStr">
        <is>
          <t>Bandwidth penalty P(B)</t>
        </is>
      </c>
      <c r="B20" s="11">
        <f>IF(B18&lt;=50,0,IF(B18&gt;=1000,$B$19,$B$19*LN(B18/50)/LN(1000/50)))</f>
        <v/>
      </c>
      <c r="C20" s="9" t="n"/>
      <c r="D20" s="9" t="n"/>
      <c r="E20" s="9" t="n"/>
    </row>
    <row r="23">
      <c r="A23" s="16" t="inlineStr">
        <is>
          <t>The 100 Hz / 24-layer / RoPE / 1.5M cap design meets the transmitter compute, receiver compute, and total-latency Track 2 limits. It also meets the parameter-cap value limit. Memory bandwidth includes encoder, maximum-native-rate RVQ transmit and receive paths, and decoder. Requests above 24 kbps are clamped to the maximum native RVQ prefix.</t>
        </is>
      </c>
    </row>
    <row r="24"/>
  </sheetData>
  <mergeCells count="3">
    <mergeCell ref="A23:E24"/>
    <mergeCell ref="A1:E1"/>
    <mergeCell ref="A13:E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LRAC 2 Track 2 VoCodec 100 Hz / 24-layer / RoPE / 1.5M cap Design</dc:title>
  <dc:description xmlns:dc="http://purl.org/dc/elements/1.1/">VoCodec calculations using the LRAC compute and persistent-tensor memory-bandwidth conventions.</dc:description>
  <dc:subject xmlns:dc="http://purl.org/dc/elements/1.1/">Compute, latency, parameters, and memory bandwidth</dc:subject>
  <dcterms:created xmlns:dcterms="http://purl.org/dc/terms/" xmlns:xsi="http://www.w3.org/2001/XMLSchema-instance" xsi:type="dcterms:W3CDTF">2026-10-05T21:05:36Z</dcterms:created>
  <dcterms:modified xmlns:dcterms="http://purl.org/dc/terms/" xmlns:xsi="http://www.w3.org/2001/XMLSchema-instance" xsi:type="dcterms:W3CDTF">2026-10-05T21:05:36Z</dcterms:modified>
</cp:coreProperties>
</file>
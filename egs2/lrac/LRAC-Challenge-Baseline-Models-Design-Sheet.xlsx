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sik/Desktop/"/>
    </mc:Choice>
  </mc:AlternateContent>
  <xr:revisionPtr revIDLastSave="0" documentId="8_{78E6F92B-7858-934B-AC50-34EBD9663CE9}" xr6:coauthVersionLast="47" xr6:coauthVersionMax="47" xr10:uidLastSave="{00000000-0000-0000-0000-000000000000}"/>
  <bookViews>
    <workbookView xWindow="0" yWindow="500" windowWidth="68800" windowHeight="27180" activeTab="6" xr2:uid="{00000000-000D-0000-FFFF-FFFF00000000}"/>
  </bookViews>
  <sheets>
    <sheet name="Encoder-Track1" sheetId="2" r:id="rId1"/>
    <sheet name="VQ-Track1" sheetId="3" r:id="rId2"/>
    <sheet name="Decoder-Track1" sheetId="4" r:id="rId3"/>
    <sheet name="Summary-Track1" sheetId="5" r:id="rId4"/>
    <sheet name="Encoder-Track2" sheetId="6" r:id="rId5"/>
    <sheet name="VQ-Track2" sheetId="7" r:id="rId6"/>
    <sheet name="Decoder-Track2" sheetId="8" r:id="rId7"/>
    <sheet name="Summary-Track2"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C14" i="9"/>
  <c r="C13" i="9"/>
  <c r="C6" i="9"/>
  <c r="C5" i="9"/>
  <c r="C15" i="5"/>
  <c r="C14" i="5"/>
  <c r="C13" i="5"/>
  <c r="C6" i="5"/>
  <c r="C5" i="5"/>
  <c r="C16" i="9"/>
  <c r="O49" i="8"/>
  <c r="N49" i="8"/>
  <c r="P49" i="8" s="1"/>
  <c r="M49" i="8"/>
  <c r="M45" i="8"/>
  <c r="L45" i="8"/>
  <c r="K45" i="8"/>
  <c r="J45" i="8"/>
  <c r="M44" i="8"/>
  <c r="L44" i="8"/>
  <c r="K44" i="8"/>
  <c r="J44" i="8"/>
  <c r="F44" i="8"/>
  <c r="E45" i="8" s="1"/>
  <c r="Q45" i="8" s="1"/>
  <c r="E44" i="8"/>
  <c r="Q44" i="8" s="1"/>
  <c r="M43" i="8"/>
  <c r="L43" i="8"/>
  <c r="K43" i="8"/>
  <c r="J43" i="8"/>
  <c r="F43" i="8"/>
  <c r="M42" i="8"/>
  <c r="L42" i="8"/>
  <c r="K42" i="8"/>
  <c r="J42" i="8"/>
  <c r="F42" i="8"/>
  <c r="E43" i="8" s="1"/>
  <c r="Q43" i="8" s="1"/>
  <c r="M41" i="8"/>
  <c r="L41" i="8"/>
  <c r="K41" i="8"/>
  <c r="J41" i="8"/>
  <c r="F41" i="8"/>
  <c r="E42" i="8" s="1"/>
  <c r="Q42" i="8" s="1"/>
  <c r="M40" i="8"/>
  <c r="L40" i="8"/>
  <c r="K40" i="8"/>
  <c r="J40" i="8"/>
  <c r="F40" i="8"/>
  <c r="E41" i="8" s="1"/>
  <c r="Q41" i="8" s="1"/>
  <c r="M39" i="8"/>
  <c r="L39" i="8"/>
  <c r="K39" i="8"/>
  <c r="J39" i="8"/>
  <c r="F39" i="8"/>
  <c r="E40" i="8" s="1"/>
  <c r="Q40" i="8" s="1"/>
  <c r="E39" i="8"/>
  <c r="Q39" i="8" s="1"/>
  <c r="Q38" i="8"/>
  <c r="M38" i="8"/>
  <c r="L38" i="8"/>
  <c r="K38" i="8"/>
  <c r="J38" i="8"/>
  <c r="E38" i="8"/>
  <c r="M37" i="8"/>
  <c r="L37" i="8"/>
  <c r="K37" i="8"/>
  <c r="J37" i="8"/>
  <c r="F37" i="8"/>
  <c r="M36" i="8"/>
  <c r="L36" i="8"/>
  <c r="K36" i="8"/>
  <c r="J36" i="8"/>
  <c r="F36" i="8"/>
  <c r="E37" i="8" s="1"/>
  <c r="Q37" i="8" s="1"/>
  <c r="M35" i="8"/>
  <c r="L35" i="8"/>
  <c r="K35" i="8"/>
  <c r="J35" i="8"/>
  <c r="F35" i="8"/>
  <c r="E36" i="8" s="1"/>
  <c r="Q36" i="8" s="1"/>
  <c r="M34" i="8"/>
  <c r="L34" i="8"/>
  <c r="K34" i="8"/>
  <c r="J34" i="8"/>
  <c r="F34" i="8"/>
  <c r="E35" i="8" s="1"/>
  <c r="Q35" i="8" s="1"/>
  <c r="M33" i="8"/>
  <c r="L33" i="8"/>
  <c r="K33" i="8"/>
  <c r="J33" i="8"/>
  <c r="F33" i="8"/>
  <c r="E34" i="8" s="1"/>
  <c r="Q34" i="8" s="1"/>
  <c r="E33" i="8"/>
  <c r="Q33" i="8" s="1"/>
  <c r="Q32" i="8"/>
  <c r="M32" i="8"/>
  <c r="L32" i="8"/>
  <c r="K32" i="8"/>
  <c r="J32" i="8"/>
  <c r="F32" i="8"/>
  <c r="E32" i="8"/>
  <c r="M31" i="8"/>
  <c r="L31" i="8"/>
  <c r="K31" i="8"/>
  <c r="J31" i="8"/>
  <c r="M30" i="8"/>
  <c r="L30" i="8"/>
  <c r="K30" i="8"/>
  <c r="J30" i="8"/>
  <c r="F30" i="8"/>
  <c r="E31" i="8" s="1"/>
  <c r="Q31" i="8" s="1"/>
  <c r="M29" i="8"/>
  <c r="L29" i="8"/>
  <c r="K29" i="8"/>
  <c r="J29" i="8"/>
  <c r="F29" i="8"/>
  <c r="E30" i="8" s="1"/>
  <c r="Q30" i="8" s="1"/>
  <c r="M28" i="8"/>
  <c r="L28" i="8"/>
  <c r="K28" i="8"/>
  <c r="J28" i="8"/>
  <c r="F28" i="8"/>
  <c r="E29" i="8" s="1"/>
  <c r="Q29" i="8" s="1"/>
  <c r="M27" i="8"/>
  <c r="L27" i="8"/>
  <c r="K27" i="8"/>
  <c r="J27" i="8"/>
  <c r="F27" i="8"/>
  <c r="E28" i="8" s="1"/>
  <c r="Q28" i="8" s="1"/>
  <c r="E27" i="8"/>
  <c r="Q27" i="8" s="1"/>
  <c r="M26" i="8"/>
  <c r="L26" i="8"/>
  <c r="K26" i="8"/>
  <c r="J26" i="8"/>
  <c r="F26" i="8"/>
  <c r="Q25" i="8"/>
  <c r="M25" i="8"/>
  <c r="L25" i="8"/>
  <c r="K25" i="8"/>
  <c r="J25" i="8"/>
  <c r="F25" i="8"/>
  <c r="E26" i="8" s="1"/>
  <c r="Q26" i="8" s="1"/>
  <c r="E25" i="8"/>
  <c r="M24" i="8"/>
  <c r="L24" i="8"/>
  <c r="K24" i="8"/>
  <c r="J24" i="8"/>
  <c r="M23" i="8"/>
  <c r="L23" i="8"/>
  <c r="K23" i="8"/>
  <c r="J23" i="8"/>
  <c r="F23" i="8"/>
  <c r="E24" i="8" s="1"/>
  <c r="Q24" i="8" s="1"/>
  <c r="M22" i="8"/>
  <c r="L22" i="8"/>
  <c r="K22" i="8"/>
  <c r="J22" i="8"/>
  <c r="F22" i="8"/>
  <c r="E23" i="8" s="1"/>
  <c r="Q23" i="8" s="1"/>
  <c r="M21" i="8"/>
  <c r="L21" i="8"/>
  <c r="K21" i="8"/>
  <c r="J21" i="8"/>
  <c r="F21" i="8"/>
  <c r="E22" i="8" s="1"/>
  <c r="Q22" i="8" s="1"/>
  <c r="E21" i="8"/>
  <c r="Q21" i="8" s="1"/>
  <c r="M20" i="8"/>
  <c r="L20" i="8"/>
  <c r="K20" i="8"/>
  <c r="J20" i="8"/>
  <c r="F20" i="8"/>
  <c r="M19" i="8"/>
  <c r="L19" i="8"/>
  <c r="K19" i="8"/>
  <c r="J19" i="8"/>
  <c r="F19" i="8"/>
  <c r="E20" i="8" s="1"/>
  <c r="Q20" i="8" s="1"/>
  <c r="Q18" i="8"/>
  <c r="M18" i="8"/>
  <c r="L18" i="8"/>
  <c r="K18" i="8"/>
  <c r="J18" i="8"/>
  <c r="F18" i="8"/>
  <c r="E19" i="8" s="1"/>
  <c r="Q19" i="8" s="1"/>
  <c r="E18" i="8"/>
  <c r="M17" i="8"/>
  <c r="L17" i="8"/>
  <c r="K17" i="8"/>
  <c r="J17" i="8"/>
  <c r="M16" i="8"/>
  <c r="L16" i="8"/>
  <c r="K16" i="8"/>
  <c r="J16" i="8"/>
  <c r="F16" i="8"/>
  <c r="E17" i="8" s="1"/>
  <c r="Q17" i="8" s="1"/>
  <c r="M15" i="8"/>
  <c r="L15" i="8"/>
  <c r="K15" i="8"/>
  <c r="J15" i="8"/>
  <c r="F15" i="8"/>
  <c r="E16" i="8" s="1"/>
  <c r="Q16" i="8" s="1"/>
  <c r="E15" i="8"/>
  <c r="Q15" i="8" s="1"/>
  <c r="M14" i="8"/>
  <c r="L14" i="8"/>
  <c r="K14" i="8"/>
  <c r="J14" i="8"/>
  <c r="F14" i="8"/>
  <c r="M13" i="8"/>
  <c r="L13" i="8"/>
  <c r="K13" i="8"/>
  <c r="J13" i="8"/>
  <c r="F13" i="8"/>
  <c r="E14" i="8" s="1"/>
  <c r="Q14" i="8" s="1"/>
  <c r="M12" i="8"/>
  <c r="L12" i="8"/>
  <c r="J12" i="8"/>
  <c r="F12" i="8"/>
  <c r="E13" i="8" s="1"/>
  <c r="Q13" i="8" s="1"/>
  <c r="Q11" i="8"/>
  <c r="M11" i="8"/>
  <c r="L11" i="8"/>
  <c r="K11" i="8"/>
  <c r="J11" i="8"/>
  <c r="F11" i="8"/>
  <c r="E12" i="8" s="1"/>
  <c r="Q12" i="8" s="1"/>
  <c r="E11" i="8"/>
  <c r="R10" i="8"/>
  <c r="S10" i="8" s="1"/>
  <c r="O10" i="8"/>
  <c r="M10" i="8"/>
  <c r="L10" i="8"/>
  <c r="P10" i="8" s="1"/>
  <c r="K10" i="8"/>
  <c r="J10" i="8"/>
  <c r="E10" i="8"/>
  <c r="Q10" i="8" s="1"/>
  <c r="C5" i="8"/>
  <c r="I4" i="7"/>
  <c r="H4" i="7"/>
  <c r="G4" i="7"/>
  <c r="K4" i="7" s="1"/>
  <c r="M50" i="6"/>
  <c r="M47" i="6"/>
  <c r="L47" i="6"/>
  <c r="K47" i="6"/>
  <c r="J47" i="6"/>
  <c r="D47" i="6"/>
  <c r="M46" i="6"/>
  <c r="L46" i="6"/>
  <c r="K46" i="6"/>
  <c r="J46" i="6"/>
  <c r="F46" i="6"/>
  <c r="E47" i="6" s="1"/>
  <c r="Q47" i="6" s="1"/>
  <c r="M45" i="6"/>
  <c r="L45" i="6"/>
  <c r="K45" i="6"/>
  <c r="J45" i="6"/>
  <c r="F45" i="6"/>
  <c r="E46" i="6" s="1"/>
  <c r="Q46" i="6" s="1"/>
  <c r="M44" i="6"/>
  <c r="L44" i="6"/>
  <c r="K44" i="6"/>
  <c r="J44" i="6"/>
  <c r="F44" i="6"/>
  <c r="E45" i="6" s="1"/>
  <c r="Q45" i="6" s="1"/>
  <c r="M43" i="6"/>
  <c r="L43" i="6"/>
  <c r="K43" i="6"/>
  <c r="J43" i="6"/>
  <c r="F43" i="6"/>
  <c r="E44" i="6" s="1"/>
  <c r="Q44" i="6" s="1"/>
  <c r="E43" i="6"/>
  <c r="Q43" i="6" s="1"/>
  <c r="M42" i="6"/>
  <c r="L42" i="6"/>
  <c r="K42" i="6"/>
  <c r="J42" i="6"/>
  <c r="F42" i="6"/>
  <c r="M41" i="6"/>
  <c r="L41" i="6"/>
  <c r="K41" i="6"/>
  <c r="J41" i="6"/>
  <c r="F41" i="6"/>
  <c r="Q41" i="6" s="1"/>
  <c r="E41" i="6"/>
  <c r="K40" i="6"/>
  <c r="D40" i="6"/>
  <c r="J40" i="6" s="1"/>
  <c r="M39" i="6"/>
  <c r="L39" i="6"/>
  <c r="K39" i="6"/>
  <c r="J39" i="6"/>
  <c r="F39" i="6"/>
  <c r="E40" i="6" s="1"/>
  <c r="Q40" i="6" s="1"/>
  <c r="M38" i="6"/>
  <c r="L38" i="6"/>
  <c r="K38" i="6"/>
  <c r="J38" i="6"/>
  <c r="F38" i="6"/>
  <c r="E39" i="6" s="1"/>
  <c r="Q39" i="6" s="1"/>
  <c r="E38" i="6"/>
  <c r="Q38" i="6" s="1"/>
  <c r="M37" i="6"/>
  <c r="L37" i="6"/>
  <c r="K37" i="6"/>
  <c r="J37" i="6"/>
  <c r="F37" i="6"/>
  <c r="M36" i="6"/>
  <c r="L36" i="6"/>
  <c r="K36" i="6"/>
  <c r="J36" i="6"/>
  <c r="F36" i="6"/>
  <c r="E37" i="6" s="1"/>
  <c r="Q37" i="6" s="1"/>
  <c r="M35" i="6"/>
  <c r="L35" i="6"/>
  <c r="K35" i="6"/>
  <c r="J35" i="6"/>
  <c r="F35" i="6"/>
  <c r="E36" i="6" s="1"/>
  <c r="Q36" i="6" s="1"/>
  <c r="Q34" i="6"/>
  <c r="M34" i="6"/>
  <c r="L34" i="6"/>
  <c r="K34" i="6"/>
  <c r="J34" i="6"/>
  <c r="F34" i="6"/>
  <c r="E35" i="6" s="1"/>
  <c r="Q35" i="6" s="1"/>
  <c r="E34" i="6"/>
  <c r="E33" i="6"/>
  <c r="D33" i="6"/>
  <c r="K33" i="6" s="1"/>
  <c r="O50" i="6" s="1"/>
  <c r="M32" i="6"/>
  <c r="L32" i="6"/>
  <c r="K32" i="6"/>
  <c r="J32" i="6"/>
  <c r="F32" i="6"/>
  <c r="M31" i="6"/>
  <c r="L31" i="6"/>
  <c r="K31" i="6"/>
  <c r="J31" i="6"/>
  <c r="F31" i="6"/>
  <c r="E32" i="6" s="1"/>
  <c r="Q32" i="6" s="1"/>
  <c r="M30" i="6"/>
  <c r="L30" i="6"/>
  <c r="K30" i="6"/>
  <c r="J30" i="6"/>
  <c r="F30" i="6"/>
  <c r="E31" i="6" s="1"/>
  <c r="Q31" i="6" s="1"/>
  <c r="M29" i="6"/>
  <c r="L29" i="6"/>
  <c r="K29" i="6"/>
  <c r="J29" i="6"/>
  <c r="F29" i="6"/>
  <c r="E30" i="6" s="1"/>
  <c r="Q30" i="6" s="1"/>
  <c r="M28" i="6"/>
  <c r="L28" i="6"/>
  <c r="K28" i="6"/>
  <c r="J28" i="6"/>
  <c r="F28" i="6"/>
  <c r="E29" i="6" s="1"/>
  <c r="Q29" i="6" s="1"/>
  <c r="E28" i="6"/>
  <c r="Q28" i="6" s="1"/>
  <c r="Q27" i="6"/>
  <c r="M27" i="6"/>
  <c r="L27" i="6"/>
  <c r="K27" i="6"/>
  <c r="J27" i="6"/>
  <c r="F27" i="6"/>
  <c r="E27" i="6"/>
  <c r="M26" i="6"/>
  <c r="L26" i="6"/>
  <c r="K26" i="6"/>
  <c r="J26" i="6"/>
  <c r="E26" i="6"/>
  <c r="Q26" i="6" s="1"/>
  <c r="D26" i="6"/>
  <c r="M25" i="6"/>
  <c r="L25" i="6"/>
  <c r="K25" i="6"/>
  <c r="J25" i="6"/>
  <c r="F25" i="6"/>
  <c r="M24" i="6"/>
  <c r="L24" i="6"/>
  <c r="K24" i="6"/>
  <c r="J24" i="6"/>
  <c r="F24" i="6"/>
  <c r="E25" i="6" s="1"/>
  <c r="Q25" i="6" s="1"/>
  <c r="M23" i="6"/>
  <c r="L23" i="6"/>
  <c r="K23" i="6"/>
  <c r="J23" i="6"/>
  <c r="F23" i="6"/>
  <c r="E24" i="6" s="1"/>
  <c r="Q24" i="6" s="1"/>
  <c r="E23" i="6"/>
  <c r="Q23" i="6" s="1"/>
  <c r="M22" i="6"/>
  <c r="L22" i="6"/>
  <c r="K22" i="6"/>
  <c r="J22" i="6"/>
  <c r="F22" i="6"/>
  <c r="M21" i="6"/>
  <c r="L21" i="6"/>
  <c r="K21" i="6"/>
  <c r="J21" i="6"/>
  <c r="F21" i="6"/>
  <c r="E22" i="6" s="1"/>
  <c r="Q22" i="6" s="1"/>
  <c r="M20" i="6"/>
  <c r="L20" i="6"/>
  <c r="K20" i="6"/>
  <c r="J20" i="6"/>
  <c r="F20" i="6"/>
  <c r="E21" i="6" s="1"/>
  <c r="Q21" i="6" s="1"/>
  <c r="M19" i="6"/>
  <c r="L19" i="6"/>
  <c r="K19" i="6"/>
  <c r="J19" i="6"/>
  <c r="F19" i="6"/>
  <c r="E20" i="6" s="1"/>
  <c r="Q20" i="6" s="1"/>
  <c r="M18" i="6"/>
  <c r="L18" i="6"/>
  <c r="K18" i="6"/>
  <c r="J18" i="6"/>
  <c r="F18" i="6"/>
  <c r="E19" i="6" s="1"/>
  <c r="Q19" i="6" s="1"/>
  <c r="E18" i="6"/>
  <c r="Q18" i="6" s="1"/>
  <c r="M17" i="6"/>
  <c r="L17" i="6"/>
  <c r="K17" i="6"/>
  <c r="J17" i="6"/>
  <c r="D17" i="6"/>
  <c r="M16" i="6"/>
  <c r="L16" i="6"/>
  <c r="K16" i="6"/>
  <c r="J16" i="6"/>
  <c r="F16" i="6"/>
  <c r="E17" i="6" s="1"/>
  <c r="Q17" i="6" s="1"/>
  <c r="M15" i="6"/>
  <c r="L15" i="6"/>
  <c r="K15" i="6"/>
  <c r="J15" i="6"/>
  <c r="F15" i="6"/>
  <c r="E16" i="6" s="1"/>
  <c r="Q16" i="6" s="1"/>
  <c r="M14" i="6"/>
  <c r="L14" i="6"/>
  <c r="K14" i="6"/>
  <c r="J14" i="6"/>
  <c r="F14" i="6"/>
  <c r="E15" i="6" s="1"/>
  <c r="Q15" i="6" s="1"/>
  <c r="M13" i="6"/>
  <c r="L13" i="6"/>
  <c r="K13" i="6"/>
  <c r="J13" i="6"/>
  <c r="F13" i="6"/>
  <c r="E14" i="6" s="1"/>
  <c r="Q14" i="6" s="1"/>
  <c r="E13" i="6"/>
  <c r="Q13" i="6" s="1"/>
  <c r="M12" i="6"/>
  <c r="L12" i="6"/>
  <c r="K12" i="6"/>
  <c r="J12" i="6"/>
  <c r="F12" i="6"/>
  <c r="M11" i="6"/>
  <c r="L11" i="6"/>
  <c r="K11" i="6"/>
  <c r="J11" i="6"/>
  <c r="F11" i="6"/>
  <c r="E12" i="6" s="1"/>
  <c r="Q12" i="6" s="1"/>
  <c r="M10" i="6"/>
  <c r="L10" i="6"/>
  <c r="K10" i="6"/>
  <c r="J10" i="6"/>
  <c r="F10" i="6"/>
  <c r="E11" i="6" s="1"/>
  <c r="Q11" i="6" s="1"/>
  <c r="Q9" i="6"/>
  <c r="M9" i="6"/>
  <c r="L9" i="6"/>
  <c r="K9" i="6"/>
  <c r="J9" i="6"/>
  <c r="F9" i="6"/>
  <c r="E10" i="6" s="1"/>
  <c r="Q10" i="6" s="1"/>
  <c r="E9" i="6"/>
  <c r="Q8" i="6"/>
  <c r="M8" i="6"/>
  <c r="L8" i="6"/>
  <c r="K8" i="6"/>
  <c r="J8" i="6"/>
  <c r="C2" i="6"/>
  <c r="N8" i="6" s="1"/>
  <c r="C16" i="5"/>
  <c r="M42" i="4"/>
  <c r="M38" i="4"/>
  <c r="L38" i="4"/>
  <c r="K38" i="4"/>
  <c r="J38" i="4"/>
  <c r="M37" i="4"/>
  <c r="L37" i="4"/>
  <c r="K37" i="4"/>
  <c r="J37" i="4"/>
  <c r="F37" i="4"/>
  <c r="E38" i="4" s="1"/>
  <c r="Q38" i="4" s="1"/>
  <c r="E37" i="4"/>
  <c r="Q37" i="4" s="1"/>
  <c r="M36" i="4"/>
  <c r="L36" i="4"/>
  <c r="K36" i="4"/>
  <c r="J36" i="4"/>
  <c r="F36" i="4"/>
  <c r="M35" i="4"/>
  <c r="L35" i="4"/>
  <c r="K35" i="4"/>
  <c r="J35" i="4"/>
  <c r="F35" i="4"/>
  <c r="E36" i="4" s="1"/>
  <c r="Q36" i="4" s="1"/>
  <c r="M34" i="4"/>
  <c r="L34" i="4"/>
  <c r="K34" i="4"/>
  <c r="J34" i="4"/>
  <c r="F34" i="4"/>
  <c r="E35" i="4" s="1"/>
  <c r="Q35" i="4" s="1"/>
  <c r="M33" i="4"/>
  <c r="L33" i="4"/>
  <c r="K33" i="4"/>
  <c r="J33" i="4"/>
  <c r="F33" i="4"/>
  <c r="E34" i="4" s="1"/>
  <c r="Q34" i="4" s="1"/>
  <c r="M32" i="4"/>
  <c r="L32" i="4"/>
  <c r="K32" i="4"/>
  <c r="J32" i="4"/>
  <c r="F32" i="4"/>
  <c r="E33" i="4" s="1"/>
  <c r="Q33" i="4" s="1"/>
  <c r="E32" i="4"/>
  <c r="Q32" i="4" s="1"/>
  <c r="M31" i="4"/>
  <c r="L31" i="4"/>
  <c r="K31" i="4"/>
  <c r="J31" i="4"/>
  <c r="E31" i="4"/>
  <c r="Q31" i="4" s="1"/>
  <c r="D31" i="4"/>
  <c r="M30" i="4"/>
  <c r="L30" i="4"/>
  <c r="K30" i="4"/>
  <c r="J30" i="4"/>
  <c r="F30" i="4"/>
  <c r="M29" i="4"/>
  <c r="L29" i="4"/>
  <c r="K29" i="4"/>
  <c r="J29" i="4"/>
  <c r="F29" i="4"/>
  <c r="E30" i="4" s="1"/>
  <c r="Q30" i="4" s="1"/>
  <c r="M28" i="4"/>
  <c r="L28" i="4"/>
  <c r="K28" i="4"/>
  <c r="J28" i="4"/>
  <c r="F28" i="4"/>
  <c r="E29" i="4" s="1"/>
  <c r="Q29" i="4" s="1"/>
  <c r="M27" i="4"/>
  <c r="L27" i="4"/>
  <c r="K27" i="4"/>
  <c r="J27" i="4"/>
  <c r="F27" i="4"/>
  <c r="E28" i="4" s="1"/>
  <c r="Q28" i="4" s="1"/>
  <c r="E27" i="4"/>
  <c r="Q27" i="4" s="1"/>
  <c r="M26" i="4"/>
  <c r="L26" i="4"/>
  <c r="K26" i="4"/>
  <c r="J26" i="4"/>
  <c r="F26" i="4"/>
  <c r="Q25" i="4"/>
  <c r="M25" i="4"/>
  <c r="L25" i="4"/>
  <c r="K25" i="4"/>
  <c r="J25" i="4"/>
  <c r="F25" i="4"/>
  <c r="E26" i="4" s="1"/>
  <c r="Q26" i="4" s="1"/>
  <c r="E25" i="4"/>
  <c r="M24" i="4"/>
  <c r="L24" i="4"/>
  <c r="D24" i="4"/>
  <c r="K24" i="4" s="1"/>
  <c r="M23" i="4"/>
  <c r="L23" i="4"/>
  <c r="K23" i="4"/>
  <c r="J23" i="4"/>
  <c r="F23" i="4"/>
  <c r="E24" i="4" s="1"/>
  <c r="Q24" i="4" s="1"/>
  <c r="M22" i="4"/>
  <c r="L22" i="4"/>
  <c r="K22" i="4"/>
  <c r="J22" i="4"/>
  <c r="F22" i="4"/>
  <c r="E23" i="4" s="1"/>
  <c r="Q23" i="4" s="1"/>
  <c r="M21" i="4"/>
  <c r="L21" i="4"/>
  <c r="K21" i="4"/>
  <c r="J21" i="4"/>
  <c r="F21" i="4"/>
  <c r="E22" i="4" s="1"/>
  <c r="Q22" i="4" s="1"/>
  <c r="E21" i="4"/>
  <c r="Q21" i="4" s="1"/>
  <c r="M20" i="4"/>
  <c r="L20" i="4"/>
  <c r="K20" i="4"/>
  <c r="J20" i="4"/>
  <c r="F20" i="4"/>
  <c r="M19" i="4"/>
  <c r="L19" i="4"/>
  <c r="K19" i="4"/>
  <c r="J19" i="4"/>
  <c r="F19" i="4"/>
  <c r="E20" i="4" s="1"/>
  <c r="Q20" i="4" s="1"/>
  <c r="Q18" i="4"/>
  <c r="M18" i="4"/>
  <c r="L18" i="4"/>
  <c r="K18" i="4"/>
  <c r="J18" i="4"/>
  <c r="F18" i="4"/>
  <c r="E19" i="4" s="1"/>
  <c r="Q19" i="4" s="1"/>
  <c r="E18" i="4"/>
  <c r="D17" i="4"/>
  <c r="K17" i="4" s="1"/>
  <c r="M16" i="4"/>
  <c r="L16" i="4"/>
  <c r="K16" i="4"/>
  <c r="J16" i="4"/>
  <c r="F16" i="4"/>
  <c r="E17" i="4" s="1"/>
  <c r="Q17" i="4" s="1"/>
  <c r="E16" i="4"/>
  <c r="Q16" i="4" s="1"/>
  <c r="M15" i="4"/>
  <c r="L15" i="4"/>
  <c r="K15" i="4"/>
  <c r="J15" i="4"/>
  <c r="F15" i="4"/>
  <c r="E15" i="4"/>
  <c r="Q15" i="4" s="1"/>
  <c r="M14" i="4"/>
  <c r="L14" i="4"/>
  <c r="K14" i="4"/>
  <c r="J14" i="4"/>
  <c r="F14" i="4"/>
  <c r="M13" i="4"/>
  <c r="L13" i="4"/>
  <c r="K13" i="4"/>
  <c r="J13" i="4"/>
  <c r="F13" i="4"/>
  <c r="E14" i="4" s="1"/>
  <c r="Q14" i="4" s="1"/>
  <c r="M12" i="4"/>
  <c r="L12" i="4"/>
  <c r="K12" i="4"/>
  <c r="J12" i="4"/>
  <c r="F12" i="4"/>
  <c r="E13" i="4" s="1"/>
  <c r="Q13" i="4" s="1"/>
  <c r="M11" i="4"/>
  <c r="L11" i="4"/>
  <c r="K11" i="4"/>
  <c r="J11" i="4"/>
  <c r="F11" i="4"/>
  <c r="E12" i="4" s="1"/>
  <c r="Q12" i="4" s="1"/>
  <c r="E11" i="4"/>
  <c r="Q11" i="4" s="1"/>
  <c r="O10" i="4"/>
  <c r="L10" i="4"/>
  <c r="K10" i="4"/>
  <c r="J10" i="4"/>
  <c r="E10" i="4"/>
  <c r="D10" i="4"/>
  <c r="R10" i="4" s="1"/>
  <c r="S10" i="4" s="1"/>
  <c r="C5" i="4"/>
  <c r="I4" i="3"/>
  <c r="H4" i="3"/>
  <c r="G4" i="3"/>
  <c r="K4" i="3" s="1"/>
  <c r="M39" i="2"/>
  <c r="C2" i="2" s="1"/>
  <c r="M36" i="2"/>
  <c r="L36" i="2"/>
  <c r="K36" i="2"/>
  <c r="J36" i="2"/>
  <c r="D36" i="2"/>
  <c r="M35" i="2"/>
  <c r="L35" i="2"/>
  <c r="K35" i="2"/>
  <c r="J35" i="2"/>
  <c r="F35" i="2"/>
  <c r="E36" i="2" s="1"/>
  <c r="Q36" i="2" s="1"/>
  <c r="E35" i="2"/>
  <c r="Q35" i="2" s="1"/>
  <c r="M34" i="2"/>
  <c r="L34" i="2"/>
  <c r="K34" i="2"/>
  <c r="J34" i="2"/>
  <c r="F34" i="2"/>
  <c r="M33" i="2"/>
  <c r="L33" i="2"/>
  <c r="K33" i="2"/>
  <c r="J33" i="2"/>
  <c r="F33" i="2"/>
  <c r="E34" i="2" s="1"/>
  <c r="Q34" i="2" s="1"/>
  <c r="M32" i="2"/>
  <c r="L32" i="2"/>
  <c r="K32" i="2"/>
  <c r="J32" i="2"/>
  <c r="F32" i="2"/>
  <c r="E33" i="2" s="1"/>
  <c r="Q33" i="2" s="1"/>
  <c r="M31" i="2"/>
  <c r="L31" i="2"/>
  <c r="K31" i="2"/>
  <c r="J31" i="2"/>
  <c r="F31" i="2"/>
  <c r="E32" i="2" s="1"/>
  <c r="Q32" i="2" s="1"/>
  <c r="M30" i="2"/>
  <c r="L30" i="2"/>
  <c r="K30" i="2"/>
  <c r="J30" i="2"/>
  <c r="F30" i="2"/>
  <c r="E31" i="2" s="1"/>
  <c r="Q31" i="2" s="1"/>
  <c r="E30" i="2"/>
  <c r="Q30" i="2" s="1"/>
  <c r="M29" i="2"/>
  <c r="K29" i="2"/>
  <c r="D29" i="2"/>
  <c r="J29" i="2" s="1"/>
  <c r="M28" i="2"/>
  <c r="L28" i="2"/>
  <c r="K28" i="2"/>
  <c r="J28" i="2"/>
  <c r="F28" i="2"/>
  <c r="E29" i="2" s="1"/>
  <c r="Q29" i="2" s="1"/>
  <c r="M27" i="2"/>
  <c r="L27" i="2"/>
  <c r="K27" i="2"/>
  <c r="J27" i="2"/>
  <c r="F27" i="2"/>
  <c r="E28" i="2" s="1"/>
  <c r="Q28" i="2" s="1"/>
  <c r="M26" i="2"/>
  <c r="L26" i="2"/>
  <c r="K26" i="2"/>
  <c r="J26" i="2"/>
  <c r="F26" i="2"/>
  <c r="E27" i="2" s="1"/>
  <c r="Q27" i="2" s="1"/>
  <c r="M25" i="2"/>
  <c r="L25" i="2"/>
  <c r="K25" i="2"/>
  <c r="J25" i="2"/>
  <c r="F25" i="2"/>
  <c r="E26" i="2" s="1"/>
  <c r="Q26" i="2" s="1"/>
  <c r="M24" i="2"/>
  <c r="L24" i="2"/>
  <c r="K24" i="2"/>
  <c r="J24" i="2"/>
  <c r="F24" i="2"/>
  <c r="E25" i="2" s="1"/>
  <c r="Q25" i="2" s="1"/>
  <c r="Q23" i="2"/>
  <c r="M23" i="2"/>
  <c r="L23" i="2"/>
  <c r="K23" i="2"/>
  <c r="J23" i="2"/>
  <c r="F23" i="2"/>
  <c r="E24" i="2" s="1"/>
  <c r="Q24" i="2" s="1"/>
  <c r="E23" i="2"/>
  <c r="D22" i="2"/>
  <c r="L22" i="2" s="1"/>
  <c r="M21" i="2"/>
  <c r="L21" i="2"/>
  <c r="K21" i="2"/>
  <c r="J21" i="2"/>
  <c r="F21" i="2"/>
  <c r="E22" i="2" s="1"/>
  <c r="Q22" i="2" s="1"/>
  <c r="M20" i="2"/>
  <c r="L20" i="2"/>
  <c r="K20" i="2"/>
  <c r="J20" i="2"/>
  <c r="F20" i="2"/>
  <c r="E21" i="2" s="1"/>
  <c r="Q21" i="2" s="1"/>
  <c r="M19" i="2"/>
  <c r="L19" i="2"/>
  <c r="K19" i="2"/>
  <c r="J19" i="2"/>
  <c r="F19" i="2"/>
  <c r="E20" i="2" s="1"/>
  <c r="Q20" i="2" s="1"/>
  <c r="M18" i="2"/>
  <c r="L18" i="2"/>
  <c r="K18" i="2"/>
  <c r="J18" i="2"/>
  <c r="F18" i="2"/>
  <c r="E19" i="2" s="1"/>
  <c r="Q19" i="2" s="1"/>
  <c r="M17" i="2"/>
  <c r="L17" i="2"/>
  <c r="K17" i="2"/>
  <c r="J17" i="2"/>
  <c r="F17" i="2"/>
  <c r="E18" i="2" s="1"/>
  <c r="Q18" i="2" s="1"/>
  <c r="M16" i="2"/>
  <c r="L16" i="2"/>
  <c r="K16" i="2"/>
  <c r="J16" i="2"/>
  <c r="F16" i="2"/>
  <c r="E17" i="2" s="1"/>
  <c r="Q17" i="2" s="1"/>
  <c r="E16" i="2"/>
  <c r="M15" i="2"/>
  <c r="L15" i="2"/>
  <c r="K15" i="2"/>
  <c r="J15" i="2"/>
  <c r="E15" i="2"/>
  <c r="D15" i="2"/>
  <c r="Q15" i="2" s="1"/>
  <c r="M14" i="2"/>
  <c r="L14" i="2"/>
  <c r="K14" i="2"/>
  <c r="J14" i="2"/>
  <c r="F14" i="2"/>
  <c r="M13" i="2"/>
  <c r="L13" i="2"/>
  <c r="K13" i="2"/>
  <c r="J13" i="2"/>
  <c r="F13" i="2"/>
  <c r="E14" i="2" s="1"/>
  <c r="Q14" i="2" s="1"/>
  <c r="M12" i="2"/>
  <c r="L12" i="2"/>
  <c r="K12" i="2"/>
  <c r="J12" i="2"/>
  <c r="F12" i="2"/>
  <c r="E13" i="2" s="1"/>
  <c r="Q13" i="2" s="1"/>
  <c r="M11" i="2"/>
  <c r="L11" i="2"/>
  <c r="K11" i="2"/>
  <c r="J11" i="2"/>
  <c r="F11" i="2"/>
  <c r="E12" i="2" s="1"/>
  <c r="Q12" i="2" s="1"/>
  <c r="M10" i="2"/>
  <c r="L10" i="2"/>
  <c r="K10" i="2"/>
  <c r="J10" i="2"/>
  <c r="F10" i="2"/>
  <c r="E11" i="2" s="1"/>
  <c r="Q11" i="2" s="1"/>
  <c r="Q9" i="2"/>
  <c r="M9" i="2"/>
  <c r="L9" i="2"/>
  <c r="K9" i="2"/>
  <c r="J9" i="2"/>
  <c r="F9" i="2"/>
  <c r="E10" i="2" s="1"/>
  <c r="Q10" i="2" s="1"/>
  <c r="E9" i="2"/>
  <c r="Q8" i="2"/>
  <c r="M8" i="2"/>
  <c r="L8" i="2"/>
  <c r="K8" i="2"/>
  <c r="J8" i="2"/>
  <c r="Q49" i="8" l="1"/>
  <c r="N11" i="8"/>
  <c r="O11" i="8" s="1"/>
  <c r="P11" i="8" s="1"/>
  <c r="J4" i="7"/>
  <c r="Q50" i="6"/>
  <c r="C4" i="6"/>
  <c r="O8" i="6"/>
  <c r="P8" i="6" s="1"/>
  <c r="L40" i="6"/>
  <c r="E42" i="6"/>
  <c r="Q42" i="6" s="1"/>
  <c r="Q33" i="6"/>
  <c r="M40" i="6"/>
  <c r="L33" i="6"/>
  <c r="M33" i="6"/>
  <c r="J33" i="6"/>
  <c r="N50" i="6" s="1"/>
  <c r="P50" i="6" s="1"/>
  <c r="O42" i="4"/>
  <c r="J17" i="4"/>
  <c r="N42" i="4" s="1"/>
  <c r="P42" i="4" s="1"/>
  <c r="L17" i="4"/>
  <c r="M10" i="4"/>
  <c r="P10" i="4" s="1"/>
  <c r="Q10" i="4"/>
  <c r="Q42" i="4" s="1"/>
  <c r="M17" i="4"/>
  <c r="J24" i="4"/>
  <c r="J4" i="3"/>
  <c r="C4" i="2"/>
  <c r="N8" i="2"/>
  <c r="O8" i="2" s="1"/>
  <c r="P8" i="2" s="1"/>
  <c r="Q16" i="2"/>
  <c r="Q39" i="2" s="1"/>
  <c r="L29" i="2"/>
  <c r="J22" i="2"/>
  <c r="N39" i="2" s="1"/>
  <c r="P39" i="2" s="1"/>
  <c r="K22" i="2"/>
  <c r="O39" i="2" s="1"/>
  <c r="M22" i="2"/>
  <c r="R11" i="8" l="1"/>
  <c r="S11" i="8" s="1"/>
  <c r="N12" i="8"/>
  <c r="O12" i="8"/>
  <c r="P12" i="8" s="1"/>
  <c r="R8" i="6"/>
  <c r="N9" i="6"/>
  <c r="O9" i="6" s="1"/>
  <c r="P9" i="6" s="1"/>
  <c r="N11" i="4"/>
  <c r="O11" i="4" s="1"/>
  <c r="P11" i="4" s="1"/>
  <c r="R8" i="2"/>
  <c r="N9" i="2"/>
  <c r="O9" i="2" s="1"/>
  <c r="P9" i="2" s="1"/>
  <c r="R12" i="8" l="1"/>
  <c r="S12" i="8" s="1"/>
  <c r="N13" i="8"/>
  <c r="O13" i="8" s="1"/>
  <c r="P13" i="8" s="1"/>
  <c r="N10" i="6"/>
  <c r="R9" i="6"/>
  <c r="S9" i="6" s="1"/>
  <c r="O10" i="6"/>
  <c r="P10" i="6" s="1"/>
  <c r="S8" i="6"/>
  <c r="N12" i="4"/>
  <c r="O12" i="4" s="1"/>
  <c r="P12" i="4" s="1"/>
  <c r="R11" i="4"/>
  <c r="S11" i="4" s="1"/>
  <c r="R9" i="2"/>
  <c r="S9" i="2" s="1"/>
  <c r="N10" i="2"/>
  <c r="O10" i="2" s="1"/>
  <c r="P10" i="2" s="1"/>
  <c r="S8" i="2"/>
  <c r="N14" i="8" l="1"/>
  <c r="R13" i="8"/>
  <c r="S13" i="8" s="1"/>
  <c r="O14" i="8"/>
  <c r="P14" i="8" s="1"/>
  <c r="R10" i="6"/>
  <c r="N11" i="6"/>
  <c r="O11" i="6" s="1"/>
  <c r="P11" i="6" s="1"/>
  <c r="N13" i="4"/>
  <c r="O13" i="4" s="1"/>
  <c r="P13" i="4" s="1"/>
  <c r="R12" i="4"/>
  <c r="S12" i="4" s="1"/>
  <c r="R10" i="2"/>
  <c r="N11" i="2"/>
  <c r="O11" i="2" s="1"/>
  <c r="P11" i="2" s="1"/>
  <c r="R14" i="8" l="1"/>
  <c r="S14" i="8" s="1"/>
  <c r="N15" i="8"/>
  <c r="O15" i="8" s="1"/>
  <c r="P15" i="8" s="1"/>
  <c r="R11" i="6"/>
  <c r="S11" i="6" s="1"/>
  <c r="N12" i="6"/>
  <c r="O12" i="6" s="1"/>
  <c r="P12" i="6" s="1"/>
  <c r="S10" i="6"/>
  <c r="N14" i="4"/>
  <c r="O14" i="4" s="1"/>
  <c r="P14" i="4" s="1"/>
  <c r="R13" i="4"/>
  <c r="S13" i="4" s="1"/>
  <c r="N12" i="2"/>
  <c r="R11" i="2"/>
  <c r="S11" i="2" s="1"/>
  <c r="O12" i="2"/>
  <c r="P12" i="2" s="1"/>
  <c r="S10" i="2"/>
  <c r="N16" i="8" l="1"/>
  <c r="O16" i="8" s="1"/>
  <c r="P16" i="8" s="1"/>
  <c r="R15" i="8"/>
  <c r="S15" i="8" s="1"/>
  <c r="N13" i="6"/>
  <c r="O13" i="6"/>
  <c r="P13" i="6" s="1"/>
  <c r="R12" i="6"/>
  <c r="R14" i="4"/>
  <c r="S14" i="4" s="1"/>
  <c r="N15" i="4"/>
  <c r="O15" i="4" s="1"/>
  <c r="P15" i="4" s="1"/>
  <c r="R12" i="2"/>
  <c r="N13" i="2"/>
  <c r="O13" i="2" s="1"/>
  <c r="P13" i="2" s="1"/>
  <c r="O17" i="8" l="1"/>
  <c r="R17" i="8"/>
  <c r="S17" i="8" s="1"/>
  <c r="R16" i="8"/>
  <c r="S16" i="8" s="1"/>
  <c r="P17" i="8"/>
  <c r="S12" i="6"/>
  <c r="O14" i="6"/>
  <c r="P14" i="6" s="1"/>
  <c r="N14" i="6"/>
  <c r="R13" i="6"/>
  <c r="S13" i="6" s="1"/>
  <c r="R15" i="4"/>
  <c r="S15" i="4" s="1"/>
  <c r="O16" i="4"/>
  <c r="P16" i="4" s="1"/>
  <c r="N16" i="4"/>
  <c r="N14" i="2"/>
  <c r="O14" i="2" s="1"/>
  <c r="P14" i="2" s="1"/>
  <c r="R13" i="2"/>
  <c r="S13" i="2" s="1"/>
  <c r="S12" i="2"/>
  <c r="N18" i="8" l="1"/>
  <c r="O18" i="8" s="1"/>
  <c r="P18" i="8" s="1"/>
  <c r="R14" i="6"/>
  <c r="N15" i="6"/>
  <c r="O15" i="6"/>
  <c r="P15" i="6" s="1"/>
  <c r="O17" i="4"/>
  <c r="R16" i="4"/>
  <c r="S16" i="4" s="1"/>
  <c r="P17" i="4"/>
  <c r="R17" i="4"/>
  <c r="S17" i="4" s="1"/>
  <c r="R14" i="2"/>
  <c r="S14" i="2" s="1"/>
  <c r="N15" i="2"/>
  <c r="O15" i="2" s="1"/>
  <c r="P15" i="2" s="1"/>
  <c r="N19" i="8" l="1"/>
  <c r="R18" i="8"/>
  <c r="S18" i="8" s="1"/>
  <c r="O19" i="8"/>
  <c r="P19" i="8" s="1"/>
  <c r="R15" i="6"/>
  <c r="S15" i="6" s="1"/>
  <c r="N16" i="6"/>
  <c r="O16" i="6" s="1"/>
  <c r="P16" i="6" s="1"/>
  <c r="S14" i="6"/>
  <c r="N18" i="4"/>
  <c r="O18" i="4" s="1"/>
  <c r="P18" i="4" s="1"/>
  <c r="R15" i="2"/>
  <c r="S15" i="2" s="1"/>
  <c r="N16" i="2"/>
  <c r="O16" i="2" s="1"/>
  <c r="P16" i="2" s="1"/>
  <c r="R19" i="8" l="1"/>
  <c r="S19" i="8" s="1"/>
  <c r="N20" i="8"/>
  <c r="O20" i="8" s="1"/>
  <c r="P20" i="8" s="1"/>
  <c r="R16" i="6"/>
  <c r="N17" i="6"/>
  <c r="O17" i="6" s="1"/>
  <c r="P17" i="6" s="1"/>
  <c r="N19" i="4"/>
  <c r="O19" i="4" s="1"/>
  <c r="P19" i="4" s="1"/>
  <c r="R18" i="4"/>
  <c r="S18" i="4" s="1"/>
  <c r="N17" i="2"/>
  <c r="R16" i="2"/>
  <c r="S16" i="2" s="1"/>
  <c r="O17" i="2"/>
  <c r="P17" i="2" s="1"/>
  <c r="N21" i="8" l="1"/>
  <c r="R20" i="8"/>
  <c r="S20" i="8" s="1"/>
  <c r="O21" i="8"/>
  <c r="P21" i="8" s="1"/>
  <c r="N18" i="6"/>
  <c r="O18" i="6" s="1"/>
  <c r="P18" i="6" s="1"/>
  <c r="R17" i="6"/>
  <c r="S17" i="6" s="1"/>
  <c r="S16" i="6"/>
  <c r="R19" i="4"/>
  <c r="S19" i="4" s="1"/>
  <c r="N20" i="4"/>
  <c r="O20" i="4" s="1"/>
  <c r="P20" i="4" s="1"/>
  <c r="R17" i="2"/>
  <c r="S17" i="2" s="1"/>
  <c r="N18" i="2"/>
  <c r="O18" i="2" s="1"/>
  <c r="P18" i="2" s="1"/>
  <c r="N22" i="8" l="1"/>
  <c r="O22" i="8" s="1"/>
  <c r="P22" i="8" s="1"/>
  <c r="R21" i="8"/>
  <c r="S21" i="8" s="1"/>
  <c r="N19" i="6"/>
  <c r="O19" i="6" s="1"/>
  <c r="P19" i="6" s="1"/>
  <c r="R18" i="6"/>
  <c r="S18" i="6" s="1"/>
  <c r="R20" i="4"/>
  <c r="S20" i="4" s="1"/>
  <c r="N21" i="4"/>
  <c r="O21" i="4" s="1"/>
  <c r="P21" i="4" s="1"/>
  <c r="N19" i="2"/>
  <c r="O19" i="2" s="1"/>
  <c r="P19" i="2" s="1"/>
  <c r="R18" i="2"/>
  <c r="S18" i="2" s="1"/>
  <c r="R22" i="8" l="1"/>
  <c r="S22" i="8" s="1"/>
  <c r="N23" i="8"/>
  <c r="O23" i="8" s="1"/>
  <c r="P23" i="8" s="1"/>
  <c r="R19" i="6"/>
  <c r="S19" i="6" s="1"/>
  <c r="N20" i="6"/>
  <c r="O20" i="6" s="1"/>
  <c r="P20" i="6" s="1"/>
  <c r="N22" i="4"/>
  <c r="O22" i="4" s="1"/>
  <c r="P22" i="4" s="1"/>
  <c r="R21" i="4"/>
  <c r="S21" i="4" s="1"/>
  <c r="R19" i="2"/>
  <c r="S19" i="2" s="1"/>
  <c r="N20" i="2"/>
  <c r="O20" i="2" s="1"/>
  <c r="P20" i="2" s="1"/>
  <c r="R23" i="8" l="1"/>
  <c r="S23" i="8" s="1"/>
  <c r="P24" i="8"/>
  <c r="O24" i="8"/>
  <c r="R24" i="8"/>
  <c r="S24" i="8" s="1"/>
  <c r="R20" i="6"/>
  <c r="S20" i="6" s="1"/>
  <c r="N21" i="6"/>
  <c r="O21" i="6" s="1"/>
  <c r="P21" i="6" s="1"/>
  <c r="R22" i="4"/>
  <c r="S22" i="4" s="1"/>
  <c r="N23" i="4"/>
  <c r="O23" i="4" s="1"/>
  <c r="P23" i="4" s="1"/>
  <c r="R20" i="2"/>
  <c r="S20" i="2" s="1"/>
  <c r="N21" i="2"/>
  <c r="O21" i="2"/>
  <c r="P21" i="2" s="1"/>
  <c r="N25" i="8" l="1"/>
  <c r="O25" i="8" s="1"/>
  <c r="P25" i="8" s="1"/>
  <c r="R21" i="6"/>
  <c r="S21" i="6" s="1"/>
  <c r="N22" i="6"/>
  <c r="O22" i="6"/>
  <c r="P22" i="6" s="1"/>
  <c r="R24" i="4"/>
  <c r="S24" i="4" s="1"/>
  <c r="R23" i="4"/>
  <c r="S23" i="4" s="1"/>
  <c r="P24" i="4"/>
  <c r="O24" i="4"/>
  <c r="N22" i="2"/>
  <c r="R21" i="2"/>
  <c r="S21" i="2" s="1"/>
  <c r="O22" i="2"/>
  <c r="P22" i="2" s="1"/>
  <c r="N26" i="8" l="1"/>
  <c r="O26" i="8" s="1"/>
  <c r="P26" i="8" s="1"/>
  <c r="R25" i="8"/>
  <c r="S25" i="8" s="1"/>
  <c r="N23" i="6"/>
  <c r="O23" i="6" s="1"/>
  <c r="P23" i="6" s="1"/>
  <c r="R22" i="6"/>
  <c r="S22" i="6" s="1"/>
  <c r="N25" i="4"/>
  <c r="O25" i="4" s="1"/>
  <c r="P25" i="4" s="1"/>
  <c r="R22" i="2"/>
  <c r="S22" i="2" s="1"/>
  <c r="N23" i="2"/>
  <c r="O23" i="2" s="1"/>
  <c r="P23" i="2" s="1"/>
  <c r="N27" i="8" l="1"/>
  <c r="R26" i="8"/>
  <c r="S26" i="8" s="1"/>
  <c r="O27" i="8"/>
  <c r="P27" i="8" s="1"/>
  <c r="R23" i="6"/>
  <c r="S23" i="6" s="1"/>
  <c r="N24" i="6"/>
  <c r="O24" i="6" s="1"/>
  <c r="P24" i="6" s="1"/>
  <c r="R25" i="4"/>
  <c r="S25" i="4" s="1"/>
  <c r="N26" i="4"/>
  <c r="O26" i="4" s="1"/>
  <c r="P26" i="4" s="1"/>
  <c r="N24" i="2"/>
  <c r="O24" i="2" s="1"/>
  <c r="P24" i="2" s="1"/>
  <c r="R23" i="2"/>
  <c r="S23" i="2" s="1"/>
  <c r="N28" i="8" l="1"/>
  <c r="O28" i="8" s="1"/>
  <c r="P28" i="8" s="1"/>
  <c r="R27" i="8"/>
  <c r="S27" i="8" s="1"/>
  <c r="R24" i="6"/>
  <c r="S24" i="6" s="1"/>
  <c r="N25" i="6"/>
  <c r="O25" i="6" s="1"/>
  <c r="P25" i="6" s="1"/>
  <c r="R26" i="4"/>
  <c r="S26" i="4" s="1"/>
  <c r="N27" i="4"/>
  <c r="O27" i="4" s="1"/>
  <c r="P27" i="4" s="1"/>
  <c r="R24" i="2"/>
  <c r="S24" i="2" s="1"/>
  <c r="N25" i="2"/>
  <c r="O25" i="2" s="1"/>
  <c r="P25" i="2" s="1"/>
  <c r="R28" i="8" l="1"/>
  <c r="S28" i="8" s="1"/>
  <c r="N29" i="8"/>
  <c r="O29" i="8" s="1"/>
  <c r="P29" i="8" s="1"/>
  <c r="R25" i="6"/>
  <c r="S25" i="6" s="1"/>
  <c r="N26" i="6"/>
  <c r="O26" i="6" s="1"/>
  <c r="P26" i="6" s="1"/>
  <c r="N28" i="4"/>
  <c r="R27" i="4"/>
  <c r="S27" i="4" s="1"/>
  <c r="O28" i="4"/>
  <c r="P28" i="4" s="1"/>
  <c r="R25" i="2"/>
  <c r="S25" i="2" s="1"/>
  <c r="N26" i="2"/>
  <c r="O26" i="2"/>
  <c r="P26" i="2" s="1"/>
  <c r="R29" i="8" l="1"/>
  <c r="S29" i="8" s="1"/>
  <c r="N30" i="8"/>
  <c r="O30" i="8" s="1"/>
  <c r="P30" i="8" s="1"/>
  <c r="R26" i="6"/>
  <c r="S26" i="6" s="1"/>
  <c r="N27" i="6"/>
  <c r="O27" i="6"/>
  <c r="P27" i="6" s="1"/>
  <c r="R28" i="4"/>
  <c r="S28" i="4" s="1"/>
  <c r="N29" i="4"/>
  <c r="O29" i="4" s="1"/>
  <c r="P29" i="4" s="1"/>
  <c r="N27" i="2"/>
  <c r="R26" i="2"/>
  <c r="S26" i="2" s="1"/>
  <c r="O27" i="2"/>
  <c r="P27" i="2" s="1"/>
  <c r="O31" i="8" l="1"/>
  <c r="R31" i="8"/>
  <c r="S31" i="8" s="1"/>
  <c r="P31" i="8"/>
  <c r="R30" i="8"/>
  <c r="S30" i="8" s="1"/>
  <c r="N28" i="6"/>
  <c r="O28" i="6" s="1"/>
  <c r="P28" i="6" s="1"/>
  <c r="R27" i="6"/>
  <c r="S27" i="6" s="1"/>
  <c r="R29" i="4"/>
  <c r="S29" i="4" s="1"/>
  <c r="N30" i="4"/>
  <c r="O30" i="4" s="1"/>
  <c r="P30" i="4" s="1"/>
  <c r="R27" i="2"/>
  <c r="S27" i="2" s="1"/>
  <c r="N28" i="2"/>
  <c r="O28" i="2"/>
  <c r="P28" i="2" s="1"/>
  <c r="N32" i="8" l="1"/>
  <c r="O32" i="8" s="1"/>
  <c r="P32" i="8" s="1"/>
  <c r="R28" i="6"/>
  <c r="S28" i="6" s="1"/>
  <c r="N29" i="6"/>
  <c r="O29" i="6" s="1"/>
  <c r="P29" i="6" s="1"/>
  <c r="O31" i="4"/>
  <c r="R31" i="4"/>
  <c r="S31" i="4" s="1"/>
  <c r="P31" i="4"/>
  <c r="R30" i="4"/>
  <c r="S30" i="4" s="1"/>
  <c r="R28" i="2"/>
  <c r="S28" i="2" s="1"/>
  <c r="N29" i="2"/>
  <c r="O29" i="2"/>
  <c r="P29" i="2" s="1"/>
  <c r="R32" i="8" l="1"/>
  <c r="S32" i="8" s="1"/>
  <c r="N33" i="8"/>
  <c r="O33" i="8"/>
  <c r="P33" i="8" s="1"/>
  <c r="R29" i="6"/>
  <c r="S29" i="6" s="1"/>
  <c r="N30" i="6"/>
  <c r="O30" i="6" s="1"/>
  <c r="P30" i="6" s="1"/>
  <c r="N32" i="4"/>
  <c r="O32" i="4" s="1"/>
  <c r="P32" i="4" s="1"/>
  <c r="R29" i="2"/>
  <c r="S29" i="2" s="1"/>
  <c r="N30" i="2"/>
  <c r="O30" i="2" s="1"/>
  <c r="P30" i="2" s="1"/>
  <c r="N34" i="8" l="1"/>
  <c r="O34" i="8" s="1"/>
  <c r="P34" i="8" s="1"/>
  <c r="R33" i="8"/>
  <c r="S33" i="8" s="1"/>
  <c r="R30" i="6"/>
  <c r="S30" i="6" s="1"/>
  <c r="N31" i="6"/>
  <c r="O31" i="6" s="1"/>
  <c r="P31" i="6" s="1"/>
  <c r="N33" i="4"/>
  <c r="O33" i="4" s="1"/>
  <c r="P33" i="4" s="1"/>
  <c r="R32" i="4"/>
  <c r="S32" i="4" s="1"/>
  <c r="R30" i="2"/>
  <c r="S30" i="2" s="1"/>
  <c r="N31" i="2"/>
  <c r="O31" i="2" s="1"/>
  <c r="P31" i="2" s="1"/>
  <c r="R34" i="8" l="1"/>
  <c r="S34" i="8" s="1"/>
  <c r="N35" i="8"/>
  <c r="O35" i="8" s="1"/>
  <c r="P35" i="8" s="1"/>
  <c r="R31" i="6"/>
  <c r="S31" i="6" s="1"/>
  <c r="N32" i="6"/>
  <c r="O32" i="6"/>
  <c r="P32" i="6" s="1"/>
  <c r="R33" i="4"/>
  <c r="S33" i="4" s="1"/>
  <c r="N34" i="4"/>
  <c r="O34" i="4" s="1"/>
  <c r="P34" i="4" s="1"/>
  <c r="N32" i="2"/>
  <c r="R31" i="2"/>
  <c r="S31" i="2" s="1"/>
  <c r="O32" i="2"/>
  <c r="P32" i="2" s="1"/>
  <c r="R35" i="8" l="1"/>
  <c r="S35" i="8" s="1"/>
  <c r="N36" i="8"/>
  <c r="O36" i="8" s="1"/>
  <c r="P36" i="8" s="1"/>
  <c r="N33" i="6"/>
  <c r="O33" i="6"/>
  <c r="P33" i="6" s="1"/>
  <c r="R32" i="6"/>
  <c r="S32" i="6" s="1"/>
  <c r="R34" i="4"/>
  <c r="S34" i="4" s="1"/>
  <c r="N35" i="4"/>
  <c r="O35" i="4" s="1"/>
  <c r="P35" i="4" s="1"/>
  <c r="R32" i="2"/>
  <c r="S32" i="2" s="1"/>
  <c r="N33" i="2"/>
  <c r="O33" i="2" s="1"/>
  <c r="P33" i="2" s="1"/>
  <c r="N37" i="8" l="1"/>
  <c r="O37" i="8" s="1"/>
  <c r="P37" i="8" s="1"/>
  <c r="R36" i="8"/>
  <c r="S36" i="8" s="1"/>
  <c r="R33" i="6"/>
  <c r="S33" i="6" s="1"/>
  <c r="N34" i="6"/>
  <c r="O34" i="6" s="1"/>
  <c r="P34" i="6" s="1"/>
  <c r="R35" i="4"/>
  <c r="S35" i="4" s="1"/>
  <c r="N36" i="4"/>
  <c r="O36" i="4" s="1"/>
  <c r="P36" i="4" s="1"/>
  <c r="N34" i="2"/>
  <c r="R33" i="2"/>
  <c r="S33" i="2" s="1"/>
  <c r="O34" i="2"/>
  <c r="P34" i="2" s="1"/>
  <c r="P38" i="8" l="1"/>
  <c r="R38" i="8"/>
  <c r="S38" i="8" s="1"/>
  <c r="R37" i="8"/>
  <c r="S37" i="8" s="1"/>
  <c r="O38" i="8"/>
  <c r="R34" i="6"/>
  <c r="S34" i="6" s="1"/>
  <c r="N35" i="6"/>
  <c r="O35" i="6" s="1"/>
  <c r="P35" i="6" s="1"/>
  <c r="N37" i="4"/>
  <c r="R36" i="4"/>
  <c r="S36" i="4" s="1"/>
  <c r="O37" i="4"/>
  <c r="P37" i="4" s="1"/>
  <c r="R34" i="2"/>
  <c r="S34" i="2" s="1"/>
  <c r="N35" i="2"/>
  <c r="O35" i="2" s="1"/>
  <c r="P35" i="2" s="1"/>
  <c r="N39" i="8" l="1"/>
  <c r="O39" i="8" s="1"/>
  <c r="P39" i="8" s="1"/>
  <c r="R35" i="6"/>
  <c r="S35" i="6" s="1"/>
  <c r="N36" i="6"/>
  <c r="O36" i="6" s="1"/>
  <c r="P36" i="6" s="1"/>
  <c r="N38" i="4"/>
  <c r="O38" i="4" s="1"/>
  <c r="P38" i="4" s="1"/>
  <c r="R38" i="4" s="1"/>
  <c r="S38" i="4" s="1"/>
  <c r="R42" i="4" s="1"/>
  <c r="S42" i="4" s="1"/>
  <c r="R37" i="4"/>
  <c r="S37" i="4" s="1"/>
  <c r="R35" i="2"/>
  <c r="S35" i="2" s="1"/>
  <c r="N36" i="2"/>
  <c r="O36" i="2" s="1"/>
  <c r="P36" i="2" s="1"/>
  <c r="R36" i="2" s="1"/>
  <c r="N40" i="8" l="1"/>
  <c r="O40" i="8" s="1"/>
  <c r="P40" i="8" s="1"/>
  <c r="R39" i="8"/>
  <c r="S39" i="8" s="1"/>
  <c r="R36" i="6"/>
  <c r="S36" i="6" s="1"/>
  <c r="N37" i="6"/>
  <c r="O37" i="6" s="1"/>
  <c r="P37" i="6" s="1"/>
  <c r="S36" i="2"/>
  <c r="S39" i="2" s="1"/>
  <c r="R39" i="2"/>
  <c r="O41" i="8" l="1"/>
  <c r="P41" i="8" s="1"/>
  <c r="R40" i="8"/>
  <c r="S40" i="8" s="1"/>
  <c r="N41" i="8"/>
  <c r="N38" i="6"/>
  <c r="O38" i="6"/>
  <c r="P38" i="6" s="1"/>
  <c r="R37" i="6"/>
  <c r="S37" i="6" s="1"/>
  <c r="R41" i="8" l="1"/>
  <c r="S41" i="8" s="1"/>
  <c r="N42" i="8"/>
  <c r="O42" i="8"/>
  <c r="P42" i="8" s="1"/>
  <c r="N39" i="6"/>
  <c r="O39" i="6" s="1"/>
  <c r="P39" i="6" s="1"/>
  <c r="R38" i="6"/>
  <c r="S38" i="6" s="1"/>
  <c r="N43" i="8" l="1"/>
  <c r="O43" i="8" s="1"/>
  <c r="P43" i="8" s="1"/>
  <c r="R42" i="8"/>
  <c r="S42" i="8" s="1"/>
  <c r="R39" i="6"/>
  <c r="S39" i="6" s="1"/>
  <c r="N40" i="6"/>
  <c r="O40" i="6"/>
  <c r="P40" i="6" s="1"/>
  <c r="N44" i="8" l="1"/>
  <c r="O44" i="8" s="1"/>
  <c r="P44" i="8" s="1"/>
  <c r="R43" i="8"/>
  <c r="S43" i="8" s="1"/>
  <c r="N41" i="6"/>
  <c r="R40" i="6"/>
  <c r="S40" i="6" s="1"/>
  <c r="O41" i="6"/>
  <c r="P41" i="6" s="1"/>
  <c r="N45" i="8" l="1"/>
  <c r="O45" i="8" s="1"/>
  <c r="P45" i="8" s="1"/>
  <c r="R45" i="8" s="1"/>
  <c r="S45" i="8" s="1"/>
  <c r="R49" i="8" s="1"/>
  <c r="S49" i="8" s="1"/>
  <c r="R44" i="8"/>
  <c r="S44" i="8" s="1"/>
  <c r="R41" i="6"/>
  <c r="S41" i="6" s="1"/>
  <c r="N42" i="6"/>
  <c r="O42" i="6" s="1"/>
  <c r="P42" i="6" s="1"/>
  <c r="N43" i="6" l="1"/>
  <c r="O43" i="6" s="1"/>
  <c r="P43" i="6" s="1"/>
  <c r="R42" i="6"/>
  <c r="S42" i="6" s="1"/>
  <c r="R43" i="6" l="1"/>
  <c r="S43" i="6" s="1"/>
  <c r="N44" i="6"/>
  <c r="O44" i="6" s="1"/>
  <c r="P44" i="6" s="1"/>
  <c r="R44" i="6" l="1"/>
  <c r="S44" i="6" s="1"/>
  <c r="N45" i="6"/>
  <c r="O45" i="6"/>
  <c r="P45" i="6" s="1"/>
  <c r="R45" i="6" l="1"/>
  <c r="S45" i="6" s="1"/>
  <c r="N46" i="6"/>
  <c r="O46" i="6" s="1"/>
  <c r="P46" i="6" s="1"/>
  <c r="R46" i="6" l="1"/>
  <c r="S46" i="6" s="1"/>
  <c r="N47" i="6"/>
  <c r="O47" i="6"/>
  <c r="P47" i="6" s="1"/>
  <c r="R47" i="6" s="1"/>
  <c r="S47" i="6" l="1"/>
  <c r="S50" i="6" s="1"/>
  <c r="R50" i="6"/>
</calcChain>
</file>

<file path=xl/sharedStrings.xml><?xml version="1.0" encoding="utf-8"?>
<sst xmlns="http://schemas.openxmlformats.org/spreadsheetml/2006/main" count="504" uniqueCount="160">
  <si>
    <t>Duration (samples)</t>
  </si>
  <si>
    <t>Sampling rate</t>
  </si>
  <si>
    <t>Duration (sec)</t>
  </si>
  <si>
    <t>Layer Name</t>
  </si>
  <si>
    <t>block ID</t>
  </si>
  <si>
    <t>kernel size</t>
  </si>
  <si>
    <t>input channels</t>
  </si>
  <si>
    <t>output channels</t>
  </si>
  <si>
    <t>dilation</t>
  </si>
  <si>
    <t>stride</t>
  </si>
  <si>
    <t>alignment</t>
  </si>
  <si>
    <t>FOV left (in samples)</t>
  </si>
  <si>
    <t>FOV right (in samples)</t>
  </si>
  <si>
    <t>padding left</t>
  </si>
  <si>
    <t>padding right</t>
  </si>
  <si>
    <t>extra padding right</t>
  </si>
  <si>
    <t>padded input length</t>
  </si>
  <si>
    <t>output length</t>
  </si>
  <si>
    <t>#Params</t>
  </si>
  <si>
    <t>#MAC</t>
  </si>
  <si>
    <t>MMAC/s</t>
  </si>
  <si>
    <t>Input Conv</t>
  </si>
  <si>
    <t>Conv1_1</t>
  </si>
  <si>
    <t>Residual Stack 1</t>
  </si>
  <si>
    <t>Conv1_2</t>
  </si>
  <si>
    <t>Conv1_3</t>
  </si>
  <si>
    <t>Conv1_4</t>
  </si>
  <si>
    <t>Conv1_5</t>
  </si>
  <si>
    <t>Conv1_6</t>
  </si>
  <si>
    <t>Conv1_7</t>
  </si>
  <si>
    <t>Strided Conv 1</t>
  </si>
  <si>
    <t>Conv2_1</t>
  </si>
  <si>
    <t>Residual Stack 2</t>
  </si>
  <si>
    <t>Conv2_2</t>
  </si>
  <si>
    <t>Conv2_3</t>
  </si>
  <si>
    <t>Conv2_4</t>
  </si>
  <si>
    <t>Conv2_5</t>
  </si>
  <si>
    <t>Conv2_6</t>
  </si>
  <si>
    <t>Conv2_7</t>
  </si>
  <si>
    <t>Strided Conv 2</t>
  </si>
  <si>
    <t>Conv3_1</t>
  </si>
  <si>
    <t>Residual Stack 3</t>
  </si>
  <si>
    <t>Conv3_2</t>
  </si>
  <si>
    <t>Conv3_3</t>
  </si>
  <si>
    <t>Conv3_4</t>
  </si>
  <si>
    <t>Conv3_5</t>
  </si>
  <si>
    <t>Conv3_6</t>
  </si>
  <si>
    <t>Conv3_7</t>
  </si>
  <si>
    <t>Strided Conv 3</t>
  </si>
  <si>
    <t>Conv4_1</t>
  </si>
  <si>
    <t>Residual Stack 4</t>
  </si>
  <si>
    <t>Conv4_2</t>
  </si>
  <si>
    <t>Conv4_3</t>
  </si>
  <si>
    <t>Conv4_4</t>
  </si>
  <si>
    <t>Conv4_5</t>
  </si>
  <si>
    <t>Conv4_6</t>
  </si>
  <si>
    <t>Conv4_7</t>
  </si>
  <si>
    <t>Strided Conv 4</t>
  </si>
  <si>
    <t>FOV:</t>
  </si>
  <si>
    <t>Field of View (also known as receptive field)</t>
  </si>
  <si>
    <t>Overall stride</t>
  </si>
  <si>
    <t>Overall FOV left</t>
  </si>
  <si>
    <t>Overall FOV right</t>
  </si>
  <si>
    <t>Total FOV</t>
  </si>
  <si>
    <t>Total #Params</t>
  </si>
  <si>
    <t>Total MACs</t>
  </si>
  <si>
    <t>Total MFLOPs</t>
  </si>
  <si>
    <t>alignment:</t>
  </si>
  <si>
    <t>Indicates how the convolution kernel is aligned:</t>
  </si>
  <si>
    <t>right-aligned, no latency is introduced</t>
  </si>
  <si>
    <t>left-aligned</t>
  </si>
  <si>
    <t>centre-aligned</t>
  </si>
  <si>
    <t>extra-padding-right:</t>
  </si>
  <si>
    <t>A padding applied in offline processing to make sure that no input samples are discarded and input and output audio are of the same length</t>
  </si>
  <si>
    <t>It is not relevant in online streaming operation</t>
  </si>
  <si>
    <t>Note 1:</t>
  </si>
  <si>
    <t>Bias vectors are ignored in parameter counts</t>
  </si>
  <si>
    <t>Note 2:</t>
  </si>
  <si>
    <t>Nonlinearities are ignored in computational complexity calculations</t>
  </si>
  <si>
    <t xml:space="preserve">Note 3: </t>
  </si>
  <si>
    <t>`Overall FOV right' indicates the alogithmic latency but does not include the buffering latency</t>
  </si>
  <si>
    <t>Embedding Dimension</t>
  </si>
  <si>
    <t>Projection Dimension</t>
  </si>
  <si>
    <t>Codebook Size</t>
  </si>
  <si>
    <t>#Layers</t>
  </si>
  <si>
    <t>Frame Rate</t>
  </si>
  <si>
    <t>MMAC/s - Input Projections</t>
  </si>
  <si>
    <t>MMAC/s-Distance Calculation</t>
  </si>
  <si>
    <t>MMAC/s-Output Projection</t>
  </si>
  <si>
    <t>Total MFLOPS</t>
  </si>
  <si>
    <t>Total MFLOPS w/o OP</t>
  </si>
  <si>
    <t>Total MFLOPS w/o OP:</t>
  </si>
  <si>
    <t xml:space="preserve">Total Computational Complexity in MFLOPS without output projections. </t>
  </si>
  <si>
    <t>Note that output projections can be optimized out after training by applying them to the codewords and storing two separate codebooks, one for transmit side and one for receive side, with the downside of increasing binary size</t>
  </si>
  <si>
    <t>Input Length (frames)</t>
  </si>
  <si>
    <t>Frame rate (Hz)</t>
  </si>
  <si>
    <t>Input Dimension</t>
  </si>
  <si>
    <t>Samples Per Frame</t>
  </si>
  <si>
    <t>kernel Size</t>
  </si>
  <si>
    <t>FOV left (in frames)</t>
  </si>
  <si>
    <t>FOV right (in frames)</t>
  </si>
  <si>
    <t>TransposedConv1</t>
  </si>
  <si>
    <t>Upsampling 1</t>
  </si>
  <si>
    <t>ResidualStack1</t>
  </si>
  <si>
    <t>TransposedConv2</t>
  </si>
  <si>
    <t>Upsampling 2</t>
  </si>
  <si>
    <t>ResidualStack2</t>
  </si>
  <si>
    <t>TransposedConv3</t>
  </si>
  <si>
    <t>Upsampling 3</t>
  </si>
  <si>
    <t>ResidualStack3</t>
  </si>
  <si>
    <t>TransposedConv4</t>
  </si>
  <si>
    <t>Upsampling 4</t>
  </si>
  <si>
    <t>ResidualStack4</t>
  </si>
  <si>
    <t>Final Conv</t>
  </si>
  <si>
    <t>Overall FOV left ( samples)</t>
  </si>
  <si>
    <t>Overall FOV right (samples)</t>
  </si>
  <si>
    <t>alignment for convolution:</t>
  </si>
  <si>
    <t>alignment for transposed convolution:</t>
  </si>
  <si>
    <t>Indicates how the transposed convolution kernel is aligned:</t>
  </si>
  <si>
    <t>right-aligned, latency due to implicit overlap-add might be introduced if kernel_size &gt; stride</t>
  </si>
  <si>
    <t>left-aligned, no latency introduced</t>
  </si>
  <si>
    <t>`Overall FOV right' indicates the alogithmic latency but does not include the buffering latency if any</t>
  </si>
  <si>
    <t>COMPUTATIONAL COMPLEXITY</t>
  </si>
  <si>
    <t>Baseline Model</t>
  </si>
  <si>
    <t>LRAC Challenge Budget</t>
  </si>
  <si>
    <t>Transmit Side Compute (MFLOPS)</t>
  </si>
  <si>
    <t>Receive Side Compute (MFLOPS)</t>
  </si>
  <si>
    <t>LATENCY</t>
  </si>
  <si>
    <t>Transmit Side Algorithmic Latency (ms)</t>
  </si>
  <si>
    <t>Receive Side Algorithmic Latency (ms)</t>
  </si>
  <si>
    <t>Buffering Latency (ms)</t>
  </si>
  <si>
    <t>Total Latency (ms)</t>
  </si>
  <si>
    <t>LRAC Challenge Budget (ms)</t>
  </si>
  <si>
    <t>Conv1_8</t>
  </si>
  <si>
    <t>Conv1_9</t>
  </si>
  <si>
    <t>Conv2_8</t>
  </si>
  <si>
    <t>Conv2_9</t>
  </si>
  <si>
    <t>Conv5_1</t>
  </si>
  <si>
    <t>Residual Stack 5</t>
  </si>
  <si>
    <t>Conv5_2</t>
  </si>
  <si>
    <t>Conv5_3</t>
  </si>
  <si>
    <t>Conv5_4</t>
  </si>
  <si>
    <t>Conv5_5</t>
  </si>
  <si>
    <t>Conv5_6</t>
  </si>
  <si>
    <t>Conv5_7</t>
  </si>
  <si>
    <t>Strided Conv 5</t>
  </si>
  <si>
    <t>Overall FOV_left</t>
  </si>
  <si>
    <t>Overall FOV_right</t>
  </si>
  <si>
    <t xml:space="preserve">Total Computational Complaxity in MFLOPS without output projections. </t>
  </si>
  <si>
    <t>Note that output projections can be optimized out after training by applying them to the codewords and storing two codebooks, one for transmit side and one for receive side with the downside of increasing binary size</t>
  </si>
  <si>
    <t>blk ID</t>
  </si>
  <si>
    <t>kerrnel_size</t>
  </si>
  <si>
    <t>input_channels</t>
  </si>
  <si>
    <t>output_channels</t>
  </si>
  <si>
    <t>FOV_left</t>
  </si>
  <si>
    <t>FOV_right</t>
  </si>
  <si>
    <t>out_x</t>
  </si>
  <si>
    <t>no. of Params</t>
  </si>
  <si>
    <t>no. of Mac</t>
  </si>
  <si>
    <t>MMac/s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</si>
</sst>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
  </numFmts>
  <fonts count="14" x14ac:knownFonts="1">
    <font>
      <sz val="11"/>
      <color theme="1"/>
      <name val="Aptos Narrow"/>
      <family val="2"/>
      <scheme val="minor"/>
    </font>
    <font>
      <sz val="10"/>
      <color rgb="FF000000"/>
      <name val="Aptos Narrow"/>
      <family val="2"/>
      <scheme val="minor"/>
    </font>
    <font>
      <sz val="10"/>
      <color theme="1"/>
      <name val="Arial"/>
      <family val="2"/>
    </font>
    <font>
      <b/>
      <sz val="11"/>
      <color rgb="FFF3F3F3"/>
      <name val="Calibri"/>
      <family val="2"/>
    </font>
    <font>
      <sz val="11"/>
      <color theme="1"/>
      <name val="Inconsolata"/>
    </font>
    <font>
      <sz val="12"/>
      <color theme="1"/>
      <name val="Arial"/>
      <family val="2"/>
    </font>
    <font>
      <b/>
      <sz val="16"/>
      <color rgb="FFF3F3F3"/>
      <name val="Calibri"/>
      <family val="2"/>
    </font>
    <font>
      <sz val="14"/>
      <color theme="1"/>
      <name val="Aptos Narrow"/>
      <family val="2"/>
      <scheme val="minor"/>
    </font>
    <font>
      <b/>
      <sz val="14"/>
      <color rgb="FFF3F3F3"/>
      <name val="Calibri"/>
      <family val="2"/>
    </font>
    <font>
      <sz val="11"/>
      <color theme="1"/>
      <name val="Calibri"/>
      <family val="2"/>
    </font>
    <font>
      <b/>
      <sz val="11"/>
      <color rgb="FFFF0000"/>
      <name val="Calibri"/>
      <family val="2"/>
    </font>
    <font>
      <sz val="12"/>
      <color rgb="FF000000"/>
      <name val="Arial"/>
      <family val="2"/>
    </font>
    <font>
      <sz val="14"/>
      <color theme="9"/>
      <name val="Aptos Narrow"/>
      <family val="2"/>
      <scheme val="minor"/>
    </font>
    <font>
      <sz val="10"/>
      <color theme="8"/>
      <name val="Arial"/>
      <family val="2"/>
    </font>
  </fonts>
  <fills count="4">
    <fill>
      <patternFill patternType="none"/>
    </fill>
    <fill>
      <patternFill patternType="gray125"/>
    </fill>
    <fill>
      <patternFill patternType="solid">
        <fgColor rgb="FF4472C4"/>
        <bgColor rgb="FF4472C4"/>
      </patternFill>
    </fill>
    <fill>
      <patternFill patternType="solid">
        <fgColor rgb="FFC6E0B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56">
    <xf numFmtId="0" fontId="0" fillId="0" borderId="0" xfId="0"/>
    <xf numFmtId="0" fontId="2" fillId="0" borderId="0" xfId="1" applyFont="1"/>
    <xf numFmtId="0" fontId="3" fillId="2" borderId="0" xfId="1" applyFont="1" applyFill="1"/>
    <xf numFmtId="0" fontId="2" fillId="0" borderId="0" xfId="1" applyFont="1" applyAlignment="1">
      <alignment horizontal="right"/>
    </xf>
    <xf numFmtId="0" fontId="1" fillId="0" borderId="0" xfId="1"/>
    <xf numFmtId="2" fontId="1" fillId="0" borderId="0" xfId="1" applyNumberFormat="1"/>
    <xf numFmtId="0" fontId="3" fillId="2" borderId="0" xfId="1" applyFont="1" applyFill="1" applyAlignment="1">
      <alignment horizontal="left"/>
    </xf>
    <xf numFmtId="0" fontId="3" fillId="2" borderId="0" xfId="1" applyFont="1" applyFill="1" applyAlignment="1">
      <alignment horizontal="center"/>
    </xf>
    <xf numFmtId="0" fontId="2" fillId="0" borderId="0" xfId="1" applyFont="1" applyAlignment="1">
      <alignment horizontal="center"/>
    </xf>
    <xf numFmtId="0" fontId="4" fillId="0" borderId="0" xfId="1" applyFont="1" applyAlignment="1">
      <alignment horizontal="center"/>
    </xf>
    <xf numFmtId="2" fontId="2" fillId="0" borderId="0" xfId="1" applyNumberFormat="1" applyFont="1" applyAlignment="1">
      <alignment horizontal="center"/>
    </xf>
    <xf numFmtId="0" fontId="2" fillId="3" borderId="0" xfId="1" applyFont="1" applyFill="1"/>
    <xf numFmtId="0" fontId="2" fillId="3" borderId="0" xfId="1" applyFont="1" applyFill="1" applyAlignment="1">
      <alignment horizontal="center"/>
    </xf>
    <xf numFmtId="0" fontId="4" fillId="3" borderId="0" xfId="1" applyFont="1" applyFill="1" applyAlignment="1">
      <alignment horizontal="center"/>
    </xf>
    <xf numFmtId="2" fontId="2" fillId="3" borderId="0" xfId="1" applyNumberFormat="1" applyFont="1" applyFill="1" applyAlignment="1">
      <alignment horizontal="center"/>
    </xf>
    <xf numFmtId="0" fontId="5" fillId="0" borderId="0" xfId="1" applyFont="1"/>
    <xf numFmtId="0" fontId="5" fillId="0" borderId="0" xfId="1" applyFont="1" applyAlignment="1">
      <alignment horizontal="left"/>
    </xf>
    <xf numFmtId="0" fontId="5" fillId="0" borderId="0" xfId="1" quotePrefix="1" applyFont="1"/>
    <xf numFmtId="0" fontId="8" fillId="2" borderId="1" xfId="1" applyFont="1" applyFill="1" applyBorder="1" applyAlignment="1">
      <alignment horizontal="center"/>
    </xf>
    <xf numFmtId="0" fontId="7" fillId="0" borderId="0" xfId="0" applyFont="1"/>
    <xf numFmtId="0" fontId="2" fillId="0" borderId="0" xfId="2" applyFont="1"/>
    <xf numFmtId="0" fontId="1" fillId="0" borderId="0" xfId="2"/>
    <xf numFmtId="164" fontId="9" fillId="0" borderId="0" xfId="2" applyNumberFormat="1" applyFont="1"/>
    <xf numFmtId="0" fontId="9" fillId="0" borderId="0" xfId="2" applyFont="1"/>
    <xf numFmtId="164" fontId="9" fillId="0" borderId="0" xfId="2" applyNumberFormat="1" applyFont="1" applyAlignment="1">
      <alignment horizontal="right"/>
    </xf>
    <xf numFmtId="0" fontId="9" fillId="0" borderId="0" xfId="2" applyFont="1" applyAlignment="1">
      <alignment horizontal="right"/>
    </xf>
    <xf numFmtId="0" fontId="10" fillId="0" borderId="0" xfId="2" applyFont="1" applyAlignment="1">
      <alignment horizontal="right"/>
    </xf>
    <xf numFmtId="0" fontId="2" fillId="0" borderId="0" xfId="2" applyFont="1" applyAlignment="1">
      <alignment horizontal="right"/>
    </xf>
    <xf numFmtId="0" fontId="3" fillId="2" borderId="0" xfId="2" applyFont="1" applyFill="1"/>
    <xf numFmtId="0" fontId="3" fillId="2" borderId="0" xfId="2" applyFont="1" applyFill="1" applyAlignment="1">
      <alignment horizontal="left"/>
    </xf>
    <xf numFmtId="0" fontId="3" fillId="2" borderId="0" xfId="2" applyFont="1" applyFill="1" applyAlignment="1">
      <alignment horizontal="center"/>
    </xf>
    <xf numFmtId="0" fontId="2" fillId="0" borderId="0" xfId="2" applyFont="1" applyAlignment="1">
      <alignment horizontal="left"/>
    </xf>
    <xf numFmtId="0" fontId="2" fillId="0" borderId="0" xfId="2" applyFont="1" applyAlignment="1">
      <alignment horizontal="center"/>
    </xf>
    <xf numFmtId="0" fontId="4" fillId="0" borderId="0" xfId="2" applyFont="1" applyAlignment="1">
      <alignment horizontal="center"/>
    </xf>
    <xf numFmtId="0" fontId="2" fillId="3" borderId="0" xfId="2" applyFont="1" applyFill="1"/>
    <xf numFmtId="0" fontId="2" fillId="3" borderId="0" xfId="2" applyFont="1" applyFill="1" applyAlignment="1">
      <alignment horizontal="left"/>
    </xf>
    <xf numFmtId="0" fontId="2" fillId="3" borderId="0" xfId="2" applyFont="1" applyFill="1" applyAlignment="1">
      <alignment horizontal="center"/>
    </xf>
    <xf numFmtId="0" fontId="4" fillId="3" borderId="0" xfId="2" applyFont="1" applyFill="1" applyAlignment="1">
      <alignment horizontal="center"/>
    </xf>
    <xf numFmtId="0" fontId="11" fillId="0" borderId="0" xfId="0" applyFont="1"/>
    <xf numFmtId="0" fontId="11" fillId="0" borderId="0" xfId="0" applyFont="1" applyAlignment="1">
      <alignment horizontal="left"/>
    </xf>
    <xf numFmtId="0" fontId="6" fillId="2" borderId="0" xfId="1" applyFont="1" applyFill="1" applyAlignment="1">
      <alignment horizontal="center"/>
    </xf>
    <xf numFmtId="0" fontId="0" fillId="0" borderId="0" xfId="0" applyAlignment="1">
      <alignment horizontal="center"/>
    </xf>
    <xf numFmtId="0" fontId="6" fillId="2" borderId="0" xfId="1" applyFont="1" applyFill="1" applyAlignment="1">
      <alignment horizontal="center"/>
    </xf>
    <xf numFmtId="0" fontId="6" fillId="2" borderId="0" xfId="1" applyFont="1" applyFill="1" applyAlignment="1">
      <alignment horizontal="left"/>
    </xf>
    <xf numFmtId="0" fontId="12" fillId="0" borderId="0" xfId="0" applyFont="1"/>
    <xf numFmtId="0" fontId="2" fillId="3" borderId="0" xfId="1" applyFont="1" applyFill="1" applyAlignment="1">
      <alignment horizontal="right"/>
    </xf>
    <xf numFmtId="0" fontId="13" fillId="0" borderId="0" xfId="1" applyFont="1" applyAlignment="1">
      <alignment horizontal="right"/>
    </xf>
    <xf numFmtId="2" fontId="2" fillId="0" borderId="0" xfId="2" applyNumberFormat="1" applyFont="1" applyAlignment="1">
      <alignment horizontal="center"/>
    </xf>
    <xf numFmtId="0" fontId="2" fillId="3" borderId="0" xfId="2" applyFont="1" applyFill="1" applyAlignment="1">
      <alignment horizontal="right"/>
    </xf>
    <xf numFmtId="2" fontId="2" fillId="3" borderId="0" xfId="2" applyNumberFormat="1" applyFont="1" applyFill="1" applyAlignment="1">
      <alignment horizontal="center"/>
    </xf>
    <xf numFmtId="0" fontId="13" fillId="0" borderId="0" xfId="2" applyFont="1" applyAlignment="1">
      <alignment horizontal="center"/>
    </xf>
    <xf numFmtId="0" fontId="13" fillId="0" borderId="0" xfId="2" applyFont="1" applyAlignment="1">
      <alignment horizontal="right"/>
    </xf>
    <xf numFmtId="2" fontId="2" fillId="0" borderId="0" xfId="2" applyNumberFormat="1" applyFont="1"/>
    <xf numFmtId="2" fontId="12" fillId="0" borderId="0" xfId="0" applyNumberFormat="1" applyFont="1"/>
    <xf numFmtId="0" fontId="6" fillId="2" borderId="0" xfId="1" applyFont="1" applyFill="1" applyBorder="1" applyAlignment="1">
      <alignment horizontal="center"/>
    </xf>
    <xf numFmtId="0" fontId="7" fillId="0" borderId="0" xfId="0" applyFont="1" applyBorder="1" applyAlignment="1">
      <alignment horizontal="center"/>
    </xf>
  </cellXfs>
  <cellStyles count="3">
    <cellStyle name="Normal" xfId="0" builtinId="0"/>
    <cellStyle name="Normal 3" xfId="1" xr:uid="{8836A729-999C-4E4F-9ED6-9DF71E7EF7BA}"/>
    <cellStyle name="Normal 4" xfId="2" xr:uid="{BF2C08D0-1D47-0D4E-8355-7D715B1081C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1A07-8B45-C84B-807B-3C85A3E77422}">
  <sheetPr>
    <outlinePr summaryBelow="0" summaryRight="0"/>
  </sheetPr>
  <dimension ref="A2:AB1002"/>
  <sheetViews>
    <sheetView zoomScale="120" zoomScaleNormal="120" workbookViewId="0">
      <selection activeCell="S40" sqref="S40"/>
    </sheetView>
  </sheetViews>
  <sheetFormatPr baseColWidth="10" defaultColWidth="12.5" defaultRowHeight="15.75" customHeight="1" x14ac:dyDescent="0.2"/>
  <cols>
    <col min="1" max="1" width="12.5" style="4"/>
    <col min="2" max="2" width="20" style="4" bestFit="1" customWidth="1"/>
    <col min="3" max="3" width="17.5" style="4" customWidth="1"/>
    <col min="4" max="4" width="14.5" style="4" customWidth="1"/>
    <col min="5" max="5" width="12.5" style="4"/>
    <col min="6" max="6" width="13.6640625" style="4" bestFit="1" customWidth="1"/>
    <col min="7" max="9" width="12.5" style="4"/>
    <col min="10" max="10" width="16.83203125" style="4" bestFit="1" customWidth="1"/>
    <col min="11" max="11" width="17.83203125" style="4" bestFit="1" customWidth="1"/>
    <col min="12" max="13" width="12.5" style="4"/>
    <col min="14" max="14" width="16.83203125" style="4" bestFit="1" customWidth="1"/>
    <col min="15" max="15" width="16.83203125" style="4" customWidth="1"/>
    <col min="16" max="16384" width="12.5" style="4"/>
  </cols>
  <sheetData>
    <row r="2" spans="1:28" ht="15" x14ac:dyDescent="0.2">
      <c r="A2" s="1"/>
      <c r="B2" s="2" t="s">
        <v>0</v>
      </c>
      <c r="C2" s="3">
        <f>M39*300000</f>
        <v>72000000</v>
      </c>
      <c r="D2" s="1"/>
      <c r="E2" s="1"/>
      <c r="F2" s="1"/>
      <c r="G2" s="1"/>
      <c r="H2" s="1"/>
      <c r="I2" s="1"/>
      <c r="J2" s="1"/>
      <c r="K2" s="1"/>
      <c r="L2" s="1"/>
      <c r="M2" s="1"/>
      <c r="N2" s="1"/>
      <c r="O2" s="1"/>
      <c r="P2" s="1"/>
      <c r="Q2" s="1"/>
      <c r="R2" s="1"/>
      <c r="S2" s="1"/>
      <c r="T2" s="1"/>
      <c r="U2" s="1"/>
      <c r="V2" s="1"/>
      <c r="W2" s="1"/>
      <c r="X2" s="1"/>
      <c r="Y2" s="1"/>
      <c r="Z2" s="1"/>
      <c r="AA2" s="1"/>
      <c r="AB2" s="1"/>
    </row>
    <row r="3" spans="1:28" ht="15" x14ac:dyDescent="0.2">
      <c r="A3" s="1"/>
      <c r="B3" s="2" t="s">
        <v>1</v>
      </c>
      <c r="C3" s="3">
        <v>24000</v>
      </c>
      <c r="D3" s="1"/>
      <c r="E3" s="1"/>
      <c r="F3" s="1"/>
      <c r="G3" s="1"/>
      <c r="H3" s="1"/>
      <c r="I3" s="1"/>
      <c r="J3" s="1"/>
      <c r="K3" s="1"/>
      <c r="L3" s="1"/>
      <c r="M3" s="1"/>
      <c r="N3" s="1"/>
      <c r="O3" s="1"/>
      <c r="P3" s="1"/>
      <c r="Q3" s="1"/>
      <c r="R3" s="1"/>
      <c r="S3" s="1"/>
      <c r="T3" s="1"/>
      <c r="U3" s="1"/>
      <c r="V3" s="1"/>
      <c r="W3" s="1"/>
      <c r="X3" s="1"/>
      <c r="Y3" s="1"/>
      <c r="Z3" s="1"/>
      <c r="AA3" s="1"/>
      <c r="AB3" s="1"/>
    </row>
    <row r="4" spans="1:28" ht="15" x14ac:dyDescent="0.2">
      <c r="A4" s="1"/>
      <c r="B4" s="2" t="s">
        <v>2</v>
      </c>
      <c r="C4" s="5">
        <f>C2/C3</f>
        <v>3000</v>
      </c>
      <c r="D4" s="1"/>
      <c r="E4" s="1"/>
      <c r="F4" s="1"/>
      <c r="G4" s="1"/>
      <c r="H4" s="1"/>
      <c r="I4" s="1"/>
      <c r="J4" s="1"/>
      <c r="K4" s="1"/>
      <c r="L4" s="1"/>
      <c r="M4" s="1"/>
      <c r="N4" s="1"/>
      <c r="O4" s="1"/>
      <c r="P4" s="1"/>
      <c r="Q4" s="1"/>
      <c r="R4" s="1"/>
      <c r="S4" s="1"/>
      <c r="T4" s="1"/>
      <c r="U4" s="1"/>
      <c r="V4" s="1"/>
      <c r="W4" s="1"/>
      <c r="X4" s="1"/>
      <c r="Y4" s="1"/>
      <c r="Z4" s="1"/>
      <c r="AA4" s="1"/>
      <c r="AB4" s="1"/>
    </row>
    <row r="5" spans="1:28" ht="14" x14ac:dyDescent="0.2">
      <c r="A5" s="1"/>
      <c r="B5" s="1"/>
      <c r="D5" s="1"/>
      <c r="E5" s="1"/>
      <c r="F5" s="1"/>
      <c r="G5" s="1"/>
      <c r="H5" s="1"/>
      <c r="I5" s="1"/>
      <c r="J5" s="1"/>
      <c r="K5" s="1"/>
      <c r="L5" s="1"/>
      <c r="M5" s="1"/>
      <c r="N5" s="1"/>
      <c r="O5" s="1"/>
      <c r="P5" s="1"/>
      <c r="Q5" s="1"/>
      <c r="R5" s="1"/>
      <c r="S5" s="1"/>
      <c r="T5" s="1"/>
      <c r="U5" s="1"/>
      <c r="V5" s="1"/>
      <c r="W5" s="1"/>
      <c r="X5" s="1"/>
      <c r="Y5" s="1"/>
      <c r="Z5" s="1"/>
      <c r="AA5" s="1"/>
      <c r="AB5" s="1"/>
    </row>
    <row r="6" spans="1:28" ht="14" x14ac:dyDescent="0.2">
      <c r="A6" s="1"/>
      <c r="B6" s="1"/>
      <c r="C6" s="1"/>
      <c r="D6" s="1"/>
      <c r="E6" s="1"/>
      <c r="F6" s="1"/>
      <c r="G6" s="1"/>
      <c r="H6" s="1"/>
      <c r="I6" s="1"/>
      <c r="J6" s="1"/>
      <c r="K6" s="1"/>
      <c r="L6" s="1"/>
      <c r="M6" s="1"/>
      <c r="N6" s="1"/>
      <c r="O6" s="1"/>
      <c r="P6" s="1"/>
      <c r="Q6" s="1"/>
      <c r="R6" s="1"/>
      <c r="S6" s="1"/>
      <c r="T6" s="1"/>
      <c r="U6" s="1"/>
      <c r="V6" s="1"/>
      <c r="W6" s="1"/>
      <c r="X6" s="1"/>
      <c r="Y6" s="1"/>
      <c r="Z6" s="1"/>
      <c r="AA6" s="1"/>
      <c r="AB6" s="1"/>
    </row>
    <row r="7" spans="1:28" ht="15" x14ac:dyDescent="0.2">
      <c r="A7" s="1"/>
      <c r="B7" s="2" t="s">
        <v>3</v>
      </c>
      <c r="C7" s="6" t="s">
        <v>4</v>
      </c>
      <c r="D7" s="7" t="s">
        <v>5</v>
      </c>
      <c r="E7" s="7" t="s">
        <v>6</v>
      </c>
      <c r="F7" s="7" t="s">
        <v>7</v>
      </c>
      <c r="G7" s="7" t="s">
        <v>8</v>
      </c>
      <c r="H7" s="7" t="s">
        <v>9</v>
      </c>
      <c r="I7" s="7" t="s">
        <v>10</v>
      </c>
      <c r="J7" s="7" t="s">
        <v>11</v>
      </c>
      <c r="K7" s="7" t="s">
        <v>12</v>
      </c>
      <c r="L7" s="7" t="s">
        <v>13</v>
      </c>
      <c r="M7" s="7" t="s">
        <v>14</v>
      </c>
      <c r="N7" s="7" t="s">
        <v>15</v>
      </c>
      <c r="O7" s="7" t="s">
        <v>16</v>
      </c>
      <c r="P7" s="7" t="s">
        <v>17</v>
      </c>
      <c r="Q7" s="7" t="s">
        <v>18</v>
      </c>
      <c r="R7" s="7" t="s">
        <v>19</v>
      </c>
      <c r="S7" s="7" t="s">
        <v>20</v>
      </c>
      <c r="T7" s="1"/>
      <c r="U7" s="1"/>
      <c r="V7" s="1"/>
      <c r="W7" s="1"/>
      <c r="X7" s="1"/>
      <c r="Y7" s="1"/>
      <c r="Z7" s="1"/>
      <c r="AA7" s="1"/>
      <c r="AB7" s="1"/>
    </row>
    <row r="8" spans="1:28" ht="14" x14ac:dyDescent="0.2">
      <c r="A8" s="1"/>
      <c r="B8" s="1" t="s">
        <v>21</v>
      </c>
      <c r="C8" s="1" t="s">
        <v>21</v>
      </c>
      <c r="D8" s="8">
        <v>7</v>
      </c>
      <c r="E8" s="8">
        <v>1</v>
      </c>
      <c r="F8" s="8">
        <v>8</v>
      </c>
      <c r="G8" s="8">
        <v>1</v>
      </c>
      <c r="H8" s="8">
        <v>1</v>
      </c>
      <c r="I8" s="8">
        <v>1</v>
      </c>
      <c r="J8" s="9">
        <f>$I8*($D8-1)*$G8</f>
        <v>6</v>
      </c>
      <c r="K8" s="9">
        <f>(1-$I8)*($D8-1)*$G8</f>
        <v>0</v>
      </c>
      <c r="L8" s="9">
        <f>(($D8-1)*$G8+1-$H8)*$I8</f>
        <v>6</v>
      </c>
      <c r="M8" s="9">
        <f>(($D8-1)*$G8+1-$H8)*(1-$I8)</f>
        <v>0</v>
      </c>
      <c r="N8" s="9">
        <f>CEILING((C2-H8)/H8+1, 1)*H8-C2</f>
        <v>0</v>
      </c>
      <c r="O8" s="9">
        <f>C2+L8+M8+N8</f>
        <v>72000006</v>
      </c>
      <c r="P8" s="8">
        <f>(O8-G8*(D8-1)-1)/H8+1</f>
        <v>72000000</v>
      </c>
      <c r="Q8" s="8">
        <f t="shared" ref="Q8:Q36" si="0">D8*E8*F8</f>
        <v>56</v>
      </c>
      <c r="R8" s="8">
        <f>P8*F8*D8*E8</f>
        <v>4032000000</v>
      </c>
      <c r="S8" s="10">
        <f>R8/$C$4/10^6</f>
        <v>1.3440000000000001</v>
      </c>
      <c r="T8" s="1"/>
      <c r="U8" s="1"/>
      <c r="V8" s="1"/>
      <c r="W8" s="1"/>
      <c r="X8" s="1"/>
      <c r="Y8" s="1"/>
      <c r="Z8" s="1"/>
      <c r="AA8" s="1"/>
      <c r="AB8" s="1"/>
    </row>
    <row r="9" spans="1:28" ht="14" x14ac:dyDescent="0.2">
      <c r="A9" s="1"/>
      <c r="B9" s="1" t="s">
        <v>22</v>
      </c>
      <c r="C9" s="1" t="s">
        <v>23</v>
      </c>
      <c r="D9" s="8">
        <v>5</v>
      </c>
      <c r="E9" s="8">
        <f t="shared" ref="E9:E36" si="1">F8</f>
        <v>8</v>
      </c>
      <c r="F9" s="8">
        <f>F8</f>
        <v>8</v>
      </c>
      <c r="G9" s="8">
        <v>3</v>
      </c>
      <c r="H9" s="8">
        <v>1</v>
      </c>
      <c r="I9" s="8">
        <v>1</v>
      </c>
      <c r="J9" s="9">
        <f>$I9*($D9-1)*$G9*PRODUCT(H8:H8)</f>
        <v>12</v>
      </c>
      <c r="K9" s="9">
        <f>(1-$I9)*($D9-1)*$G9*PRODUCT(H8:H8)</f>
        <v>0</v>
      </c>
      <c r="L9" s="9">
        <f>(($D9-1)*$G9+1-$H9)*$I9</f>
        <v>12</v>
      </c>
      <c r="M9" s="9">
        <f t="shared" ref="M9:M15" si="2">(($D9-1)*$G9+1-$H9)*(1-$I9)</f>
        <v>0</v>
      </c>
      <c r="N9" s="9">
        <f t="shared" ref="N9:N36" si="3">CEILING((P8-H9)/H9+1, 1)*H9-P8</f>
        <v>0</v>
      </c>
      <c r="O9" s="9">
        <f>P8+L9+M9+N9</f>
        <v>72000012</v>
      </c>
      <c r="P9" s="8">
        <f>(O9-G9*(D9-1)-1)/H9+1</f>
        <v>72000000</v>
      </c>
      <c r="Q9" s="8">
        <f t="shared" si="0"/>
        <v>320</v>
      </c>
      <c r="R9" s="8">
        <f t="shared" ref="R9:R36" si="4">P9*F9*D9*E9</f>
        <v>23040000000</v>
      </c>
      <c r="S9" s="10">
        <f>R9/$C$4/10^6</f>
        <v>7.68</v>
      </c>
      <c r="T9" s="1"/>
      <c r="U9" s="1"/>
      <c r="V9" s="1"/>
      <c r="W9" s="1"/>
      <c r="X9" s="1"/>
      <c r="Y9" s="1"/>
      <c r="Z9" s="1"/>
      <c r="AA9" s="1"/>
      <c r="AB9" s="1"/>
    </row>
    <row r="10" spans="1:28" ht="14" x14ac:dyDescent="0.2">
      <c r="A10" s="1"/>
      <c r="B10" s="1" t="s">
        <v>24</v>
      </c>
      <c r="C10" s="1" t="s">
        <v>23</v>
      </c>
      <c r="D10" s="8">
        <v>1</v>
      </c>
      <c r="E10" s="8">
        <f t="shared" si="1"/>
        <v>8</v>
      </c>
      <c r="F10" s="8">
        <f>F8</f>
        <v>8</v>
      </c>
      <c r="G10" s="8">
        <v>1</v>
      </c>
      <c r="H10" s="8">
        <v>1</v>
      </c>
      <c r="I10" s="8">
        <v>1</v>
      </c>
      <c r="J10" s="9">
        <f>$I10*($D10-1)*$G10*PRODUCT(H8:H9)</f>
        <v>0</v>
      </c>
      <c r="K10" s="9">
        <f>(1-$I10)*($D10-1)*$G10*PRODUCT(H8:H9)</f>
        <v>0</v>
      </c>
      <c r="L10" s="9">
        <f t="shared" ref="L10:L15" si="5">(($D10-1)*$G10+1-$H10)*$I10</f>
        <v>0</v>
      </c>
      <c r="M10" s="9">
        <f t="shared" si="2"/>
        <v>0</v>
      </c>
      <c r="N10" s="9">
        <f t="shared" si="3"/>
        <v>0</v>
      </c>
      <c r="O10" s="9">
        <f t="shared" ref="O10:O15" si="6">P9+L10+M10+N10</f>
        <v>72000000</v>
      </c>
      <c r="P10" s="8">
        <f>(O10-G10*(D10-1)-1)/H10+1</f>
        <v>72000000</v>
      </c>
      <c r="Q10" s="8">
        <f t="shared" si="0"/>
        <v>64</v>
      </c>
      <c r="R10" s="8">
        <f t="shared" si="4"/>
        <v>4608000000</v>
      </c>
      <c r="S10" s="10">
        <f t="shared" ref="S10:S15" si="7">R10/$C$4/10^6</f>
        <v>1.536</v>
      </c>
      <c r="T10" s="1"/>
      <c r="U10" s="1"/>
      <c r="V10" s="1"/>
      <c r="W10" s="1"/>
      <c r="X10" s="1"/>
      <c r="Y10" s="1"/>
      <c r="Z10" s="1"/>
      <c r="AA10" s="1"/>
      <c r="AB10" s="1"/>
    </row>
    <row r="11" spans="1:28" ht="14" x14ac:dyDescent="0.2">
      <c r="A11" s="1"/>
      <c r="B11" s="1" t="s">
        <v>25</v>
      </c>
      <c r="C11" s="1" t="s">
        <v>23</v>
      </c>
      <c r="D11" s="8">
        <v>5</v>
      </c>
      <c r="E11" s="8">
        <f t="shared" si="1"/>
        <v>8</v>
      </c>
      <c r="F11" s="8">
        <f>F8</f>
        <v>8</v>
      </c>
      <c r="G11" s="8">
        <v>9</v>
      </c>
      <c r="H11" s="8">
        <v>1</v>
      </c>
      <c r="I11" s="8">
        <v>1</v>
      </c>
      <c r="J11" s="9">
        <f>$I11*($D11-1)*$G11*PRODUCT(H8:H10)</f>
        <v>36</v>
      </c>
      <c r="K11" s="9">
        <f>(1-$I11)*($D11-1)*$G11*PRODUCT(H8:H10)</f>
        <v>0</v>
      </c>
      <c r="L11" s="9">
        <f t="shared" si="5"/>
        <v>36</v>
      </c>
      <c r="M11" s="9">
        <f t="shared" si="2"/>
        <v>0</v>
      </c>
      <c r="N11" s="9">
        <f t="shared" si="3"/>
        <v>0</v>
      </c>
      <c r="O11" s="9">
        <f t="shared" si="6"/>
        <v>72000036</v>
      </c>
      <c r="P11" s="8">
        <f t="shared" ref="P11:P15" si="8">(O11-G11*(D11-1)-1)/H11+1</f>
        <v>72000000</v>
      </c>
      <c r="Q11" s="8">
        <f t="shared" si="0"/>
        <v>320</v>
      </c>
      <c r="R11" s="8">
        <f t="shared" si="4"/>
        <v>23040000000</v>
      </c>
      <c r="S11" s="10">
        <f t="shared" si="7"/>
        <v>7.68</v>
      </c>
      <c r="T11" s="1"/>
      <c r="U11" s="1"/>
      <c r="V11" s="1"/>
      <c r="W11" s="1"/>
      <c r="X11" s="1"/>
      <c r="Y11" s="1"/>
      <c r="Z11" s="1"/>
      <c r="AA11" s="1"/>
      <c r="AB11" s="1"/>
    </row>
    <row r="12" spans="1:28" ht="14" x14ac:dyDescent="0.2">
      <c r="A12" s="1"/>
      <c r="B12" s="1" t="s">
        <v>26</v>
      </c>
      <c r="C12" s="1" t="s">
        <v>23</v>
      </c>
      <c r="D12" s="8">
        <v>1</v>
      </c>
      <c r="E12" s="8">
        <f t="shared" si="1"/>
        <v>8</v>
      </c>
      <c r="F12" s="8">
        <f>F8</f>
        <v>8</v>
      </c>
      <c r="G12" s="8">
        <v>1</v>
      </c>
      <c r="H12" s="8">
        <v>1</v>
      </c>
      <c r="I12" s="8">
        <v>1</v>
      </c>
      <c r="J12" s="9">
        <f>$I12*($D12-1)*$G12*PRODUCT(H8:H11)</f>
        <v>0</v>
      </c>
      <c r="K12" s="9">
        <f>(1-$I12)*($D12-1)*$G12*PRODUCT(H8:H11)</f>
        <v>0</v>
      </c>
      <c r="L12" s="9">
        <f t="shared" si="5"/>
        <v>0</v>
      </c>
      <c r="M12" s="9">
        <f t="shared" si="2"/>
        <v>0</v>
      </c>
      <c r="N12" s="9">
        <f t="shared" si="3"/>
        <v>0</v>
      </c>
      <c r="O12" s="9">
        <f t="shared" si="6"/>
        <v>72000000</v>
      </c>
      <c r="P12" s="8">
        <f t="shared" si="8"/>
        <v>72000000</v>
      </c>
      <c r="Q12" s="8">
        <f t="shared" si="0"/>
        <v>64</v>
      </c>
      <c r="R12" s="8">
        <f t="shared" si="4"/>
        <v>4608000000</v>
      </c>
      <c r="S12" s="10">
        <f t="shared" si="7"/>
        <v>1.536</v>
      </c>
      <c r="T12" s="1"/>
      <c r="U12" s="1"/>
      <c r="V12" s="1"/>
      <c r="W12" s="1"/>
      <c r="X12" s="1"/>
      <c r="Y12" s="1"/>
      <c r="Z12" s="1"/>
      <c r="AA12" s="1"/>
      <c r="AB12" s="1"/>
    </row>
    <row r="13" spans="1:28" ht="14" x14ac:dyDescent="0.2">
      <c r="A13" s="1"/>
      <c r="B13" s="1" t="s">
        <v>27</v>
      </c>
      <c r="C13" s="1" t="s">
        <v>23</v>
      </c>
      <c r="D13" s="8">
        <v>5</v>
      </c>
      <c r="E13" s="8">
        <f t="shared" si="1"/>
        <v>8</v>
      </c>
      <c r="F13" s="8">
        <f>F8</f>
        <v>8</v>
      </c>
      <c r="G13" s="8">
        <v>27</v>
      </c>
      <c r="H13" s="8">
        <v>1</v>
      </c>
      <c r="I13" s="8">
        <v>1</v>
      </c>
      <c r="J13" s="9">
        <f>$I13*($D13-1)*$G13*PRODUCT(H8:H12)</f>
        <v>108</v>
      </c>
      <c r="K13" s="9">
        <f>(1-$I13)*($D13-1)*$G13*PRODUCT(H8:H12)</f>
        <v>0</v>
      </c>
      <c r="L13" s="9">
        <f t="shared" si="5"/>
        <v>108</v>
      </c>
      <c r="M13" s="9">
        <f t="shared" si="2"/>
        <v>0</v>
      </c>
      <c r="N13" s="9">
        <f t="shared" si="3"/>
        <v>0</v>
      </c>
      <c r="O13" s="9">
        <f t="shared" si="6"/>
        <v>72000108</v>
      </c>
      <c r="P13" s="8">
        <f t="shared" si="8"/>
        <v>72000000</v>
      </c>
      <c r="Q13" s="8">
        <f t="shared" si="0"/>
        <v>320</v>
      </c>
      <c r="R13" s="8">
        <f t="shared" si="4"/>
        <v>23040000000</v>
      </c>
      <c r="S13" s="10">
        <f t="shared" si="7"/>
        <v>7.68</v>
      </c>
      <c r="T13" s="1"/>
      <c r="U13" s="1"/>
      <c r="V13" s="1"/>
      <c r="W13" s="1"/>
      <c r="X13" s="1"/>
      <c r="Y13" s="1"/>
      <c r="Z13" s="1"/>
      <c r="AA13" s="1"/>
      <c r="AB13" s="1"/>
    </row>
    <row r="14" spans="1:28" ht="14" x14ac:dyDescent="0.2">
      <c r="A14" s="1"/>
      <c r="B14" s="1" t="s">
        <v>28</v>
      </c>
      <c r="C14" s="1" t="s">
        <v>23</v>
      </c>
      <c r="D14" s="8">
        <v>1</v>
      </c>
      <c r="E14" s="8">
        <f t="shared" si="1"/>
        <v>8</v>
      </c>
      <c r="F14" s="8">
        <f>F8</f>
        <v>8</v>
      </c>
      <c r="G14" s="8">
        <v>1</v>
      </c>
      <c r="H14" s="8">
        <v>1</v>
      </c>
      <c r="I14" s="8">
        <v>1</v>
      </c>
      <c r="J14" s="9">
        <f>$I14*($D14-1)*$G14*PRODUCT(H8:H13)</f>
        <v>0</v>
      </c>
      <c r="K14" s="9">
        <f>(1-$I14)*($D14-1)*$G14*PRODUCT(H8:H13)</f>
        <v>0</v>
      </c>
      <c r="L14" s="9">
        <f t="shared" si="5"/>
        <v>0</v>
      </c>
      <c r="M14" s="9">
        <f t="shared" si="2"/>
        <v>0</v>
      </c>
      <c r="N14" s="9">
        <f t="shared" si="3"/>
        <v>0</v>
      </c>
      <c r="O14" s="9">
        <f t="shared" si="6"/>
        <v>72000000</v>
      </c>
      <c r="P14" s="8">
        <f t="shared" si="8"/>
        <v>72000000</v>
      </c>
      <c r="Q14" s="8">
        <f t="shared" si="0"/>
        <v>64</v>
      </c>
      <c r="R14" s="8">
        <f t="shared" si="4"/>
        <v>4608000000</v>
      </c>
      <c r="S14" s="10">
        <f t="shared" si="7"/>
        <v>1.536</v>
      </c>
      <c r="T14" s="1"/>
      <c r="U14" s="1"/>
      <c r="V14" s="1"/>
      <c r="W14" s="1"/>
      <c r="X14" s="1"/>
      <c r="Y14" s="1"/>
      <c r="Z14" s="1"/>
      <c r="AA14" s="1"/>
      <c r="AB14" s="1"/>
    </row>
    <row r="15" spans="1:28" ht="14" x14ac:dyDescent="0.2">
      <c r="A15" s="1"/>
      <c r="B15" s="1" t="s">
        <v>29</v>
      </c>
      <c r="C15" s="1" t="s">
        <v>30</v>
      </c>
      <c r="D15" s="8">
        <f>2*H15</f>
        <v>6</v>
      </c>
      <c r="E15" s="8">
        <f t="shared" si="1"/>
        <v>8</v>
      </c>
      <c r="F15" s="8">
        <v>16</v>
      </c>
      <c r="G15" s="8">
        <v>1</v>
      </c>
      <c r="H15" s="8">
        <v>3</v>
      </c>
      <c r="I15" s="8">
        <v>1</v>
      </c>
      <c r="J15" s="9">
        <f>$I15*($D15-1)*$G15*PRODUCT(H8:H14)</f>
        <v>5</v>
      </c>
      <c r="K15" s="9">
        <f>(1-$I15)*($D15-1)*$G15*PRODUCT(H8:H14)</f>
        <v>0</v>
      </c>
      <c r="L15" s="9">
        <f t="shared" si="5"/>
        <v>3</v>
      </c>
      <c r="M15" s="9">
        <f t="shared" si="2"/>
        <v>0</v>
      </c>
      <c r="N15" s="9">
        <f t="shared" si="3"/>
        <v>0</v>
      </c>
      <c r="O15" s="9">
        <f t="shared" si="6"/>
        <v>72000003</v>
      </c>
      <c r="P15" s="8">
        <f t="shared" si="8"/>
        <v>24000000</v>
      </c>
      <c r="Q15" s="8">
        <f t="shared" si="0"/>
        <v>768</v>
      </c>
      <c r="R15" s="8">
        <f t="shared" si="4"/>
        <v>18432000000</v>
      </c>
      <c r="S15" s="10">
        <f t="shared" si="7"/>
        <v>6.1440000000000001</v>
      </c>
      <c r="T15" s="1"/>
      <c r="U15" s="1"/>
      <c r="V15" s="1"/>
      <c r="W15" s="1"/>
      <c r="X15" s="1"/>
      <c r="Y15" s="1"/>
      <c r="Z15" s="1"/>
      <c r="AA15" s="1"/>
      <c r="AB15" s="1"/>
    </row>
    <row r="16" spans="1:28" ht="14" x14ac:dyDescent="0.2">
      <c r="A16" s="1"/>
      <c r="B16" s="11" t="s">
        <v>31</v>
      </c>
      <c r="C16" s="11" t="s">
        <v>32</v>
      </c>
      <c r="D16" s="12">
        <v>5</v>
      </c>
      <c r="E16" s="12">
        <f t="shared" si="1"/>
        <v>16</v>
      </c>
      <c r="F16" s="12">
        <f>F15</f>
        <v>16</v>
      </c>
      <c r="G16" s="12">
        <v>3</v>
      </c>
      <c r="H16" s="12">
        <v>1</v>
      </c>
      <c r="I16" s="12">
        <v>1</v>
      </c>
      <c r="J16" s="13">
        <f>$I16*($D16-1)*$G16*PRODUCT(H8:H15)</f>
        <v>36</v>
      </c>
      <c r="K16" s="13">
        <f>(1-$I16)*($D16-1)*$G16*PRODUCT(H8:H15)</f>
        <v>0</v>
      </c>
      <c r="L16" s="13">
        <f>(($D16-1)*$G16+1-$H16)*$I16</f>
        <v>12</v>
      </c>
      <c r="M16" s="13">
        <f>(($D16-1)*$G16+1-$H16)*(1-$I16)</f>
        <v>0</v>
      </c>
      <c r="N16" s="13">
        <f t="shared" si="3"/>
        <v>0</v>
      </c>
      <c r="O16" s="13">
        <f>P15+L16+M16+N16</f>
        <v>24000012</v>
      </c>
      <c r="P16" s="12">
        <f>(O16-G16*(D16-1)-1)/H16+1</f>
        <v>24000000</v>
      </c>
      <c r="Q16" s="12">
        <f t="shared" si="0"/>
        <v>1280</v>
      </c>
      <c r="R16" s="12">
        <f t="shared" si="4"/>
        <v>30720000000</v>
      </c>
      <c r="S16" s="14">
        <f>R16/$C$4/10^6</f>
        <v>10.24</v>
      </c>
      <c r="T16" s="1"/>
      <c r="U16" s="1"/>
      <c r="V16" s="1"/>
      <c r="W16" s="1"/>
      <c r="X16" s="1"/>
      <c r="Y16" s="1"/>
      <c r="Z16" s="1"/>
      <c r="AA16" s="1"/>
      <c r="AB16" s="1"/>
    </row>
    <row r="17" spans="1:28" ht="14" x14ac:dyDescent="0.2">
      <c r="A17" s="1"/>
      <c r="B17" s="11" t="s">
        <v>33</v>
      </c>
      <c r="C17" s="11" t="s">
        <v>32</v>
      </c>
      <c r="D17" s="12">
        <v>1</v>
      </c>
      <c r="E17" s="12">
        <f t="shared" si="1"/>
        <v>16</v>
      </c>
      <c r="F17" s="12">
        <f>F15</f>
        <v>16</v>
      </c>
      <c r="G17" s="12">
        <v>1</v>
      </c>
      <c r="H17" s="12">
        <v>1</v>
      </c>
      <c r="I17" s="12">
        <v>1</v>
      </c>
      <c r="J17" s="13">
        <f>$I17*($D17-1)*$G17*PRODUCT(H8:H16)</f>
        <v>0</v>
      </c>
      <c r="K17" s="13">
        <f>(1-$I17)*($D17-1)*$G17*PRODUCT(H8:H16)</f>
        <v>0</v>
      </c>
      <c r="L17" s="13">
        <f t="shared" ref="L17:L22" si="9">(($D17-1)*$G17+1-$H17)*$I17</f>
        <v>0</v>
      </c>
      <c r="M17" s="13">
        <f t="shared" ref="M17:M22" si="10">(($D17-1)*$G17+1-$H17)*(1-$I17)</f>
        <v>0</v>
      </c>
      <c r="N17" s="13">
        <f t="shared" si="3"/>
        <v>0</v>
      </c>
      <c r="O17" s="13">
        <f>P16+L17+M17+N17</f>
        <v>24000000</v>
      </c>
      <c r="P17" s="12">
        <f>(O17-G17*(D17-1)-1)/H17+1</f>
        <v>24000000</v>
      </c>
      <c r="Q17" s="12">
        <f t="shared" si="0"/>
        <v>256</v>
      </c>
      <c r="R17" s="12">
        <f t="shared" si="4"/>
        <v>6144000000</v>
      </c>
      <c r="S17" s="14">
        <f t="shared" ref="S17:S22" si="11">R17/$C$4/10^6</f>
        <v>2.048</v>
      </c>
      <c r="T17" s="1"/>
      <c r="U17" s="1"/>
      <c r="V17" s="1"/>
      <c r="W17" s="1"/>
      <c r="X17" s="1"/>
      <c r="Y17" s="1"/>
      <c r="Z17" s="1"/>
      <c r="AA17" s="1"/>
      <c r="AB17" s="1"/>
    </row>
    <row r="18" spans="1:28" ht="14" x14ac:dyDescent="0.2">
      <c r="A18" s="1"/>
      <c r="B18" s="11" t="s">
        <v>34</v>
      </c>
      <c r="C18" s="11" t="s">
        <v>32</v>
      </c>
      <c r="D18" s="12">
        <v>5</v>
      </c>
      <c r="E18" s="12">
        <f t="shared" si="1"/>
        <v>16</v>
      </c>
      <c r="F18" s="12">
        <f>F15</f>
        <v>16</v>
      </c>
      <c r="G18" s="12">
        <v>9</v>
      </c>
      <c r="H18" s="12">
        <v>1</v>
      </c>
      <c r="I18" s="12">
        <v>1</v>
      </c>
      <c r="J18" s="13">
        <f>$I18*($D18-1)*$G18*PRODUCT(H8:H17)</f>
        <v>108</v>
      </c>
      <c r="K18" s="13">
        <f>(1-$I18)*($D18-1)*$G18*PRODUCT(H8:H17)</f>
        <v>0</v>
      </c>
      <c r="L18" s="13">
        <f t="shared" si="9"/>
        <v>36</v>
      </c>
      <c r="M18" s="13">
        <f t="shared" si="10"/>
        <v>0</v>
      </c>
      <c r="N18" s="13">
        <f t="shared" si="3"/>
        <v>0</v>
      </c>
      <c r="O18" s="13">
        <f t="shared" ref="O18:O23" si="12">P17+L18+M18+N18</f>
        <v>24000036</v>
      </c>
      <c r="P18" s="12">
        <f t="shared" ref="P18:P22" si="13">(O18-G18*(D18-1)-1)/H18+1</f>
        <v>24000000</v>
      </c>
      <c r="Q18" s="12">
        <f t="shared" si="0"/>
        <v>1280</v>
      </c>
      <c r="R18" s="12">
        <f t="shared" si="4"/>
        <v>30720000000</v>
      </c>
      <c r="S18" s="14">
        <f t="shared" si="11"/>
        <v>10.24</v>
      </c>
      <c r="T18" s="1"/>
      <c r="U18" s="1"/>
      <c r="V18" s="1"/>
      <c r="W18" s="1"/>
      <c r="X18" s="1"/>
      <c r="Y18" s="1"/>
      <c r="Z18" s="1"/>
      <c r="AA18" s="1"/>
      <c r="AB18" s="1"/>
    </row>
    <row r="19" spans="1:28" ht="14" x14ac:dyDescent="0.2">
      <c r="A19" s="1"/>
      <c r="B19" s="11" t="s">
        <v>35</v>
      </c>
      <c r="C19" s="11" t="s">
        <v>32</v>
      </c>
      <c r="D19" s="12">
        <v>1</v>
      </c>
      <c r="E19" s="12">
        <f t="shared" si="1"/>
        <v>16</v>
      </c>
      <c r="F19" s="12">
        <f>F15</f>
        <v>16</v>
      </c>
      <c r="G19" s="12">
        <v>1</v>
      </c>
      <c r="H19" s="12">
        <v>1</v>
      </c>
      <c r="I19" s="12">
        <v>1</v>
      </c>
      <c r="J19" s="13">
        <f>$I19*($D19-1)*$G19*PRODUCT(H8:H18)</f>
        <v>0</v>
      </c>
      <c r="K19" s="13">
        <f>(1-$I19)*($D19-1)*$G19*PRODUCT(H8:H18)</f>
        <v>0</v>
      </c>
      <c r="L19" s="13">
        <f t="shared" si="9"/>
        <v>0</v>
      </c>
      <c r="M19" s="13">
        <f t="shared" si="10"/>
        <v>0</v>
      </c>
      <c r="N19" s="13">
        <f t="shared" si="3"/>
        <v>0</v>
      </c>
      <c r="O19" s="13">
        <f t="shared" si="12"/>
        <v>24000000</v>
      </c>
      <c r="P19" s="12">
        <f t="shared" si="13"/>
        <v>24000000</v>
      </c>
      <c r="Q19" s="12">
        <f t="shared" si="0"/>
        <v>256</v>
      </c>
      <c r="R19" s="12">
        <f t="shared" si="4"/>
        <v>6144000000</v>
      </c>
      <c r="S19" s="14">
        <f t="shared" si="11"/>
        <v>2.048</v>
      </c>
      <c r="T19" s="1"/>
      <c r="U19" s="1"/>
      <c r="V19" s="1"/>
      <c r="W19" s="1"/>
      <c r="X19" s="1"/>
      <c r="Y19" s="1"/>
      <c r="Z19" s="1"/>
      <c r="AA19" s="1"/>
      <c r="AB19" s="1"/>
    </row>
    <row r="20" spans="1:28" ht="14" x14ac:dyDescent="0.2">
      <c r="A20" s="1"/>
      <c r="B20" s="11" t="s">
        <v>36</v>
      </c>
      <c r="C20" s="11" t="s">
        <v>32</v>
      </c>
      <c r="D20" s="12">
        <v>5</v>
      </c>
      <c r="E20" s="12">
        <f t="shared" si="1"/>
        <v>16</v>
      </c>
      <c r="F20" s="12">
        <f>F15</f>
        <v>16</v>
      </c>
      <c r="G20" s="12">
        <v>27</v>
      </c>
      <c r="H20" s="12">
        <v>1</v>
      </c>
      <c r="I20" s="12">
        <v>1</v>
      </c>
      <c r="J20" s="13">
        <f>$I20*($D20-1)*$G20*PRODUCT(H8:H19)</f>
        <v>324</v>
      </c>
      <c r="K20" s="13">
        <f>(1-$I20)*($D20-1)*$G20*PRODUCT(H8:H19)</f>
        <v>0</v>
      </c>
      <c r="L20" s="13">
        <f t="shared" si="9"/>
        <v>108</v>
      </c>
      <c r="M20" s="13">
        <f t="shared" si="10"/>
        <v>0</v>
      </c>
      <c r="N20" s="13">
        <f t="shared" si="3"/>
        <v>0</v>
      </c>
      <c r="O20" s="13">
        <f t="shared" si="12"/>
        <v>24000108</v>
      </c>
      <c r="P20" s="12">
        <f t="shared" si="13"/>
        <v>24000000</v>
      </c>
      <c r="Q20" s="12">
        <f t="shared" si="0"/>
        <v>1280</v>
      </c>
      <c r="R20" s="12">
        <f t="shared" si="4"/>
        <v>30720000000</v>
      </c>
      <c r="S20" s="14">
        <f t="shared" si="11"/>
        <v>10.24</v>
      </c>
      <c r="T20" s="1"/>
      <c r="U20" s="1"/>
      <c r="V20" s="1"/>
      <c r="W20" s="1"/>
      <c r="X20" s="1"/>
      <c r="Y20" s="1"/>
      <c r="Z20" s="1"/>
      <c r="AA20" s="1"/>
      <c r="AB20" s="1"/>
    </row>
    <row r="21" spans="1:28" ht="14" x14ac:dyDescent="0.2">
      <c r="A21" s="1"/>
      <c r="B21" s="11" t="s">
        <v>37</v>
      </c>
      <c r="C21" s="11" t="s">
        <v>32</v>
      </c>
      <c r="D21" s="12">
        <v>1</v>
      </c>
      <c r="E21" s="12">
        <f t="shared" si="1"/>
        <v>16</v>
      </c>
      <c r="F21" s="12">
        <f>F15</f>
        <v>16</v>
      </c>
      <c r="G21" s="12">
        <v>1</v>
      </c>
      <c r="H21" s="12">
        <v>1</v>
      </c>
      <c r="I21" s="12">
        <v>1</v>
      </c>
      <c r="J21" s="13">
        <f>$I21*($D21-1)*$G21*PRODUCT(H8:H20)</f>
        <v>0</v>
      </c>
      <c r="K21" s="13">
        <f>(1-$I21)*($D21-1)*$G21*PRODUCT(H8:H20)</f>
        <v>0</v>
      </c>
      <c r="L21" s="13">
        <f t="shared" si="9"/>
        <v>0</v>
      </c>
      <c r="M21" s="13">
        <f t="shared" si="10"/>
        <v>0</v>
      </c>
      <c r="N21" s="13">
        <f t="shared" si="3"/>
        <v>0</v>
      </c>
      <c r="O21" s="13">
        <f t="shared" si="12"/>
        <v>24000000</v>
      </c>
      <c r="P21" s="12">
        <f t="shared" si="13"/>
        <v>24000000</v>
      </c>
      <c r="Q21" s="12">
        <f t="shared" si="0"/>
        <v>256</v>
      </c>
      <c r="R21" s="12">
        <f t="shared" si="4"/>
        <v>6144000000</v>
      </c>
      <c r="S21" s="14">
        <f t="shared" si="11"/>
        <v>2.048</v>
      </c>
      <c r="T21" s="1"/>
      <c r="U21" s="1"/>
      <c r="V21" s="1"/>
      <c r="W21" s="1"/>
      <c r="X21" s="1"/>
      <c r="Y21" s="1"/>
      <c r="Z21" s="1"/>
      <c r="AA21" s="1"/>
      <c r="AB21" s="1"/>
    </row>
    <row r="22" spans="1:28" ht="14" x14ac:dyDescent="0.2">
      <c r="A22" s="1"/>
      <c r="B22" s="11" t="s">
        <v>38</v>
      </c>
      <c r="C22" s="11" t="s">
        <v>39</v>
      </c>
      <c r="D22" s="12">
        <f>2*H22</f>
        <v>8</v>
      </c>
      <c r="E22" s="12">
        <f t="shared" si="1"/>
        <v>16</v>
      </c>
      <c r="F22" s="12">
        <v>32</v>
      </c>
      <c r="G22" s="12">
        <v>1</v>
      </c>
      <c r="H22" s="12">
        <v>4</v>
      </c>
      <c r="I22" s="12">
        <v>1</v>
      </c>
      <c r="J22" s="13">
        <f>$I22*($D22-1)*$G22*PRODUCT(H8:H21)</f>
        <v>21</v>
      </c>
      <c r="K22" s="13">
        <f>(1-$I22)*($D22-1)*$G22*PRODUCT(H8:H21)</f>
        <v>0</v>
      </c>
      <c r="L22" s="13">
        <f t="shared" si="9"/>
        <v>4</v>
      </c>
      <c r="M22" s="13">
        <f t="shared" si="10"/>
        <v>0</v>
      </c>
      <c r="N22" s="13">
        <f t="shared" si="3"/>
        <v>0</v>
      </c>
      <c r="O22" s="13">
        <f t="shared" si="12"/>
        <v>24000004</v>
      </c>
      <c r="P22" s="12">
        <f t="shared" si="13"/>
        <v>6000000</v>
      </c>
      <c r="Q22" s="12">
        <f t="shared" si="0"/>
        <v>4096</v>
      </c>
      <c r="R22" s="12">
        <f t="shared" si="4"/>
        <v>24576000000</v>
      </c>
      <c r="S22" s="14">
        <f t="shared" si="11"/>
        <v>8.1920000000000002</v>
      </c>
      <c r="T22" s="1"/>
      <c r="U22" s="1"/>
      <c r="V22" s="1"/>
      <c r="W22" s="1"/>
      <c r="X22" s="1"/>
      <c r="Y22" s="1"/>
      <c r="Z22" s="1"/>
      <c r="AA22" s="1"/>
      <c r="AB22" s="1"/>
    </row>
    <row r="23" spans="1:28" ht="14" x14ac:dyDescent="0.2">
      <c r="A23" s="1"/>
      <c r="B23" s="1" t="s">
        <v>40</v>
      </c>
      <c r="C23" s="1" t="s">
        <v>41</v>
      </c>
      <c r="D23" s="8">
        <v>5</v>
      </c>
      <c r="E23" s="8">
        <f t="shared" si="1"/>
        <v>32</v>
      </c>
      <c r="F23" s="8">
        <f>F22</f>
        <v>32</v>
      </c>
      <c r="G23" s="8">
        <v>3</v>
      </c>
      <c r="H23" s="8">
        <v>1</v>
      </c>
      <c r="I23" s="8">
        <v>0.5</v>
      </c>
      <c r="J23" s="9">
        <f>$I23*($D23-1)*$G23*PRODUCT(H8:H22)</f>
        <v>72</v>
      </c>
      <c r="K23" s="9">
        <f>(1-$I23)*($D23-1)*$G23*PRODUCT(H8:H22)</f>
        <v>72</v>
      </c>
      <c r="L23" s="9">
        <f>(($D23-1)*$G23+1-$H23)*$I23</f>
        <v>6</v>
      </c>
      <c r="M23" s="9">
        <f>(($D23-1)*$G23+1-$H23)*(1-$I23)</f>
        <v>6</v>
      </c>
      <c r="N23" s="9">
        <f t="shared" si="3"/>
        <v>0</v>
      </c>
      <c r="O23" s="9">
        <f>P22+L23+M23+N23</f>
        <v>6000012</v>
      </c>
      <c r="P23" s="8">
        <f>(O23-G23*(D23-1)-1)/H23+1</f>
        <v>6000000</v>
      </c>
      <c r="Q23" s="8">
        <f t="shared" si="0"/>
        <v>5120</v>
      </c>
      <c r="R23" s="8">
        <f t="shared" si="4"/>
        <v>30720000000</v>
      </c>
      <c r="S23" s="10">
        <f>R23/$C$4/10^6</f>
        <v>10.24</v>
      </c>
      <c r="T23" s="1"/>
      <c r="U23" s="1"/>
      <c r="V23" s="1"/>
      <c r="W23" s="1"/>
      <c r="X23" s="1"/>
      <c r="Y23" s="1"/>
      <c r="Z23" s="1"/>
      <c r="AA23" s="1"/>
      <c r="AB23" s="1"/>
    </row>
    <row r="24" spans="1:28" ht="14" x14ac:dyDescent="0.2">
      <c r="A24" s="1"/>
      <c r="B24" s="1" t="s">
        <v>42</v>
      </c>
      <c r="C24" s="1" t="s">
        <v>41</v>
      </c>
      <c r="D24" s="8">
        <v>1</v>
      </c>
      <c r="E24" s="8">
        <f t="shared" si="1"/>
        <v>32</v>
      </c>
      <c r="F24" s="8">
        <f>F22</f>
        <v>32</v>
      </c>
      <c r="G24" s="8">
        <v>1</v>
      </c>
      <c r="H24" s="8">
        <v>1</v>
      </c>
      <c r="I24" s="8">
        <v>1</v>
      </c>
      <c r="J24" s="9">
        <f>$I24*($D24-1)*$G24*PRODUCT(H8:H23)</f>
        <v>0</v>
      </c>
      <c r="K24" s="9">
        <f>(1-$I24)*($D24-1)*$G24*PRODUCT(H8:H23)</f>
        <v>0</v>
      </c>
      <c r="L24" s="9">
        <f t="shared" ref="L24:L29" si="14">(($D24-1)*$G24+1-$H24)*$I24</f>
        <v>0</v>
      </c>
      <c r="M24" s="9">
        <f t="shared" ref="M24:M29" si="15">(($D24-1)*$G24+1-$H24)*(1-$I24)</f>
        <v>0</v>
      </c>
      <c r="N24" s="9">
        <f t="shared" si="3"/>
        <v>0</v>
      </c>
      <c r="O24" s="9">
        <f t="shared" ref="O24:O29" si="16">P23+L24+M24+N24</f>
        <v>6000000</v>
      </c>
      <c r="P24" s="8">
        <f>(O24-G24*(D24-1)-1)/H24+1</f>
        <v>6000000</v>
      </c>
      <c r="Q24" s="8">
        <f t="shared" si="0"/>
        <v>1024</v>
      </c>
      <c r="R24" s="8">
        <f t="shared" si="4"/>
        <v>6144000000</v>
      </c>
      <c r="S24" s="10">
        <f t="shared" ref="S24:S29" si="17">R24/$C$4/10^6</f>
        <v>2.048</v>
      </c>
      <c r="T24" s="1"/>
      <c r="U24" s="1"/>
      <c r="V24" s="1"/>
      <c r="W24" s="1"/>
      <c r="X24" s="1"/>
      <c r="Y24" s="1"/>
      <c r="Z24" s="1"/>
      <c r="AA24" s="1"/>
      <c r="AB24" s="1"/>
    </row>
    <row r="25" spans="1:28" ht="14" x14ac:dyDescent="0.2">
      <c r="A25" s="1"/>
      <c r="B25" s="1" t="s">
        <v>43</v>
      </c>
      <c r="C25" s="1" t="s">
        <v>41</v>
      </c>
      <c r="D25" s="8">
        <v>5</v>
      </c>
      <c r="E25" s="8">
        <f t="shared" si="1"/>
        <v>32</v>
      </c>
      <c r="F25" s="8">
        <f>F22</f>
        <v>32</v>
      </c>
      <c r="G25" s="8">
        <v>7</v>
      </c>
      <c r="H25" s="8">
        <v>1</v>
      </c>
      <c r="I25" s="8">
        <v>0.5</v>
      </c>
      <c r="J25" s="9">
        <f>$I25*($D25-1)*$G25*PRODUCT(H8:H24)</f>
        <v>168</v>
      </c>
      <c r="K25" s="9">
        <f>(1-$I25)*($D25-1)*$G25*PRODUCT(H8:H24)</f>
        <v>168</v>
      </c>
      <c r="L25" s="9">
        <f t="shared" si="14"/>
        <v>14</v>
      </c>
      <c r="M25" s="9">
        <f t="shared" si="15"/>
        <v>14</v>
      </c>
      <c r="N25" s="9">
        <f t="shared" si="3"/>
        <v>0</v>
      </c>
      <c r="O25" s="9">
        <f t="shared" si="16"/>
        <v>6000028</v>
      </c>
      <c r="P25" s="8">
        <f t="shared" ref="P25:P29" si="18">(O25-G25*(D25-1)-1)/H25+1</f>
        <v>6000000</v>
      </c>
      <c r="Q25" s="8">
        <f t="shared" si="0"/>
        <v>5120</v>
      </c>
      <c r="R25" s="8">
        <f t="shared" si="4"/>
        <v>30720000000</v>
      </c>
      <c r="S25" s="10">
        <f t="shared" si="17"/>
        <v>10.24</v>
      </c>
      <c r="T25" s="1"/>
      <c r="U25" s="1"/>
      <c r="V25" s="1"/>
      <c r="W25" s="1"/>
      <c r="X25" s="1"/>
      <c r="Y25" s="1"/>
      <c r="Z25" s="1"/>
      <c r="AA25" s="1"/>
      <c r="AB25" s="1"/>
    </row>
    <row r="26" spans="1:28" ht="14" x14ac:dyDescent="0.2">
      <c r="A26" s="1"/>
      <c r="B26" s="1" t="s">
        <v>44</v>
      </c>
      <c r="C26" s="1" t="s">
        <v>41</v>
      </c>
      <c r="D26" s="8">
        <v>1</v>
      </c>
      <c r="E26" s="8">
        <f t="shared" si="1"/>
        <v>32</v>
      </c>
      <c r="F26" s="8">
        <f>F22</f>
        <v>32</v>
      </c>
      <c r="G26" s="8">
        <v>1</v>
      </c>
      <c r="H26" s="8">
        <v>1</v>
      </c>
      <c r="I26" s="8">
        <v>1</v>
      </c>
      <c r="J26" s="9">
        <f>$I26*($D26-1)*$G26*PRODUCT(H8:H25)</f>
        <v>0</v>
      </c>
      <c r="K26" s="9">
        <f>(1-$I26)*($D26-1)*$G26*PRODUCT(H8:H25)</f>
        <v>0</v>
      </c>
      <c r="L26" s="9">
        <f t="shared" si="14"/>
        <v>0</v>
      </c>
      <c r="M26" s="9">
        <f t="shared" si="15"/>
        <v>0</v>
      </c>
      <c r="N26" s="9">
        <f t="shared" si="3"/>
        <v>0</v>
      </c>
      <c r="O26" s="9">
        <f t="shared" si="16"/>
        <v>6000000</v>
      </c>
      <c r="P26" s="8">
        <f t="shared" si="18"/>
        <v>6000000</v>
      </c>
      <c r="Q26" s="8">
        <f t="shared" si="0"/>
        <v>1024</v>
      </c>
      <c r="R26" s="8">
        <f t="shared" si="4"/>
        <v>6144000000</v>
      </c>
      <c r="S26" s="10">
        <f t="shared" si="17"/>
        <v>2.048</v>
      </c>
      <c r="T26" s="1"/>
      <c r="U26" s="1"/>
      <c r="V26" s="1"/>
      <c r="W26" s="1"/>
      <c r="X26" s="1"/>
      <c r="Y26" s="1"/>
      <c r="Z26" s="1"/>
      <c r="AA26" s="1"/>
      <c r="AB26" s="1"/>
    </row>
    <row r="27" spans="1:28" ht="14" x14ac:dyDescent="0.2">
      <c r="A27" s="1"/>
      <c r="B27" s="1" t="s">
        <v>45</v>
      </c>
      <c r="C27" s="1" t="s">
        <v>41</v>
      </c>
      <c r="D27" s="8">
        <v>5</v>
      </c>
      <c r="E27" s="8">
        <f t="shared" si="1"/>
        <v>32</v>
      </c>
      <c r="F27" s="8">
        <f>F22</f>
        <v>32</v>
      </c>
      <c r="G27" s="8">
        <v>27</v>
      </c>
      <c r="H27" s="8">
        <v>1</v>
      </c>
      <c r="I27" s="8">
        <v>1</v>
      </c>
      <c r="J27" s="9">
        <f>$I27*($D27-1)*$G27*PRODUCT(H8:H26)</f>
        <v>1296</v>
      </c>
      <c r="K27" s="9">
        <f>(1-$I27)*($D27-1)*$G27*PRODUCT(H8:H26)</f>
        <v>0</v>
      </c>
      <c r="L27" s="9">
        <f t="shared" si="14"/>
        <v>108</v>
      </c>
      <c r="M27" s="9">
        <f t="shared" si="15"/>
        <v>0</v>
      </c>
      <c r="N27" s="9">
        <f t="shared" si="3"/>
        <v>0</v>
      </c>
      <c r="O27" s="9">
        <f t="shared" si="16"/>
        <v>6000108</v>
      </c>
      <c r="P27" s="8">
        <f t="shared" si="18"/>
        <v>6000000</v>
      </c>
      <c r="Q27" s="8">
        <f t="shared" si="0"/>
        <v>5120</v>
      </c>
      <c r="R27" s="8">
        <f t="shared" si="4"/>
        <v>30720000000</v>
      </c>
      <c r="S27" s="10">
        <f t="shared" si="17"/>
        <v>10.24</v>
      </c>
      <c r="T27" s="1"/>
      <c r="U27" s="1"/>
      <c r="V27" s="1"/>
      <c r="W27" s="1"/>
      <c r="X27" s="1"/>
      <c r="Y27" s="1"/>
      <c r="Z27" s="1"/>
      <c r="AA27" s="1"/>
      <c r="AB27" s="1"/>
    </row>
    <row r="28" spans="1:28" ht="14" x14ac:dyDescent="0.2">
      <c r="A28" s="1"/>
      <c r="B28" s="1" t="s">
        <v>46</v>
      </c>
      <c r="C28" s="1" t="s">
        <v>41</v>
      </c>
      <c r="D28" s="8">
        <v>1</v>
      </c>
      <c r="E28" s="8">
        <f t="shared" si="1"/>
        <v>32</v>
      </c>
      <c r="F28" s="8">
        <f>F22</f>
        <v>32</v>
      </c>
      <c r="G28" s="8">
        <v>1</v>
      </c>
      <c r="H28" s="8">
        <v>1</v>
      </c>
      <c r="I28" s="8">
        <v>1</v>
      </c>
      <c r="J28" s="9">
        <f>$I28*($D28-1)*$G28*PRODUCT(H8:H27)</f>
        <v>0</v>
      </c>
      <c r="K28" s="9">
        <f>(1-$I28)*($D28-1)*$G28*PRODUCT(H8:H27)</f>
        <v>0</v>
      </c>
      <c r="L28" s="9">
        <f t="shared" si="14"/>
        <v>0</v>
      </c>
      <c r="M28" s="9">
        <f t="shared" si="15"/>
        <v>0</v>
      </c>
      <c r="N28" s="9">
        <f t="shared" si="3"/>
        <v>0</v>
      </c>
      <c r="O28" s="9">
        <f t="shared" si="16"/>
        <v>6000000</v>
      </c>
      <c r="P28" s="8">
        <f t="shared" si="18"/>
        <v>6000000</v>
      </c>
      <c r="Q28" s="8">
        <f t="shared" si="0"/>
        <v>1024</v>
      </c>
      <c r="R28" s="8">
        <f t="shared" si="4"/>
        <v>6144000000</v>
      </c>
      <c r="S28" s="10">
        <f t="shared" si="17"/>
        <v>2.048</v>
      </c>
      <c r="T28" s="1"/>
      <c r="U28" s="1"/>
      <c r="V28" s="1"/>
      <c r="W28" s="1"/>
      <c r="X28" s="1"/>
      <c r="Y28" s="1"/>
      <c r="Z28" s="1"/>
      <c r="AA28" s="1"/>
      <c r="AB28" s="1"/>
    </row>
    <row r="29" spans="1:28" ht="14" x14ac:dyDescent="0.2">
      <c r="A29" s="1"/>
      <c r="B29" s="1" t="s">
        <v>47</v>
      </c>
      <c r="C29" s="1" t="s">
        <v>48</v>
      </c>
      <c r="D29" s="8">
        <f>2*H29</f>
        <v>8</v>
      </c>
      <c r="E29" s="8">
        <f t="shared" si="1"/>
        <v>32</v>
      </c>
      <c r="F29" s="8">
        <v>64</v>
      </c>
      <c r="G29" s="8">
        <v>1</v>
      </c>
      <c r="H29" s="8">
        <v>4</v>
      </c>
      <c r="I29" s="8">
        <v>1</v>
      </c>
      <c r="J29" s="9">
        <f>$I29*($D29-1)*$G29*PRODUCT(H8:H28)</f>
        <v>84</v>
      </c>
      <c r="K29" s="9">
        <f>(1-$I29)*($D29-1)*$G29*PRODUCT(H8:H28)</f>
        <v>0</v>
      </c>
      <c r="L29" s="9">
        <f t="shared" si="14"/>
        <v>4</v>
      </c>
      <c r="M29" s="9">
        <f t="shared" si="15"/>
        <v>0</v>
      </c>
      <c r="N29" s="9">
        <f t="shared" si="3"/>
        <v>0</v>
      </c>
      <c r="O29" s="9">
        <f t="shared" si="16"/>
        <v>6000004</v>
      </c>
      <c r="P29" s="8">
        <f t="shared" si="18"/>
        <v>1500000</v>
      </c>
      <c r="Q29" s="8">
        <f t="shared" si="0"/>
        <v>16384</v>
      </c>
      <c r="R29" s="8">
        <f t="shared" si="4"/>
        <v>24576000000</v>
      </c>
      <c r="S29" s="10">
        <f t="shared" si="17"/>
        <v>8.1920000000000002</v>
      </c>
      <c r="T29" s="1"/>
      <c r="U29" s="1"/>
      <c r="V29" s="1"/>
      <c r="W29" s="1"/>
      <c r="X29" s="1"/>
      <c r="Y29" s="1"/>
      <c r="Z29" s="1"/>
      <c r="AA29" s="1"/>
      <c r="AB29" s="1"/>
    </row>
    <row r="30" spans="1:28" ht="14" x14ac:dyDescent="0.2">
      <c r="A30" s="1"/>
      <c r="B30" s="11" t="s">
        <v>49</v>
      </c>
      <c r="C30" s="11" t="s">
        <v>50</v>
      </c>
      <c r="D30" s="12">
        <v>5</v>
      </c>
      <c r="E30" s="12">
        <f t="shared" si="1"/>
        <v>64</v>
      </c>
      <c r="F30" s="12">
        <f>F29</f>
        <v>64</v>
      </c>
      <c r="G30" s="12">
        <v>3</v>
      </c>
      <c r="H30" s="12">
        <v>1</v>
      </c>
      <c r="I30" s="12">
        <v>1</v>
      </c>
      <c r="J30" s="13">
        <f>$I30*($D30-1)*$G30*PRODUCT(H8:H29)</f>
        <v>576</v>
      </c>
      <c r="K30" s="13">
        <f>(1-$I30)*($D30-1)*$G30*PRODUCT(H8:H29)</f>
        <v>0</v>
      </c>
      <c r="L30" s="13">
        <f>(($D30-1)*$G30+1-$H30)*$I30</f>
        <v>12</v>
      </c>
      <c r="M30" s="13">
        <f>(($D30-1)*$G30+1-$H30)*(1-$I30)</f>
        <v>0</v>
      </c>
      <c r="N30" s="13">
        <f t="shared" si="3"/>
        <v>0</v>
      </c>
      <c r="O30" s="13">
        <f>P29+L30+M30+N30</f>
        <v>1500012</v>
      </c>
      <c r="P30" s="12">
        <f>(O30-G30*(D30-1)-1)/H30+1</f>
        <v>1500000</v>
      </c>
      <c r="Q30" s="12">
        <f t="shared" si="0"/>
        <v>20480</v>
      </c>
      <c r="R30" s="12">
        <f t="shared" si="4"/>
        <v>30720000000</v>
      </c>
      <c r="S30" s="14">
        <f>R30/$C$4/10^6</f>
        <v>10.24</v>
      </c>
      <c r="T30" s="1"/>
      <c r="U30" s="1"/>
      <c r="V30" s="1"/>
      <c r="W30" s="1"/>
      <c r="X30" s="1"/>
      <c r="Y30" s="1"/>
      <c r="Z30" s="1"/>
      <c r="AA30" s="1"/>
      <c r="AB30" s="1"/>
    </row>
    <row r="31" spans="1:28" ht="14" x14ac:dyDescent="0.2">
      <c r="A31" s="1"/>
      <c r="B31" s="11" t="s">
        <v>51</v>
      </c>
      <c r="C31" s="11" t="s">
        <v>50</v>
      </c>
      <c r="D31" s="12">
        <v>1</v>
      </c>
      <c r="E31" s="12">
        <f t="shared" si="1"/>
        <v>64</v>
      </c>
      <c r="F31" s="12">
        <f>F29</f>
        <v>64</v>
      </c>
      <c r="G31" s="12">
        <v>1</v>
      </c>
      <c r="H31" s="12">
        <v>1</v>
      </c>
      <c r="I31" s="12">
        <v>1</v>
      </c>
      <c r="J31" s="13">
        <f>$I31*($D31-1)*$G31*PRODUCT(H8:H30)</f>
        <v>0</v>
      </c>
      <c r="K31" s="13">
        <f>(1-$I31)*($D31-1)*$G31*PRODUCT(H8:H30)</f>
        <v>0</v>
      </c>
      <c r="L31" s="13">
        <f t="shared" ref="L31:L36" si="19">(($D31-1)*$G31+1-$H31)*$I31</f>
        <v>0</v>
      </c>
      <c r="M31" s="13">
        <f t="shared" ref="M31:M36" si="20">(($D31-1)*$G31+1-$H31)*(1-$I31)</f>
        <v>0</v>
      </c>
      <c r="N31" s="13">
        <f t="shared" si="3"/>
        <v>0</v>
      </c>
      <c r="O31" s="13">
        <f t="shared" ref="O31:O36" si="21">P30+L31+M31+N31</f>
        <v>1500000</v>
      </c>
      <c r="P31" s="12">
        <f>(O31-G31*(D31-1)-1)/H31+1</f>
        <v>1500000</v>
      </c>
      <c r="Q31" s="12">
        <f t="shared" si="0"/>
        <v>4096</v>
      </c>
      <c r="R31" s="12">
        <f t="shared" si="4"/>
        <v>6144000000</v>
      </c>
      <c r="S31" s="14">
        <f t="shared" ref="S31:S36" si="22">R31/$C$4/10^6</f>
        <v>2.048</v>
      </c>
      <c r="T31" s="1"/>
      <c r="U31" s="1"/>
      <c r="V31" s="1"/>
      <c r="W31" s="1"/>
      <c r="X31" s="1"/>
      <c r="Y31" s="1"/>
      <c r="Z31" s="1"/>
      <c r="AA31" s="1"/>
      <c r="AB31" s="1"/>
    </row>
    <row r="32" spans="1:28" ht="14" x14ac:dyDescent="0.2">
      <c r="A32" s="1"/>
      <c r="B32" s="11" t="s">
        <v>52</v>
      </c>
      <c r="C32" s="11" t="s">
        <v>50</v>
      </c>
      <c r="D32" s="12">
        <v>7</v>
      </c>
      <c r="E32" s="12">
        <f t="shared" si="1"/>
        <v>64</v>
      </c>
      <c r="F32" s="12">
        <f>F29</f>
        <v>64</v>
      </c>
      <c r="G32" s="12">
        <v>9</v>
      </c>
      <c r="H32" s="12">
        <v>1</v>
      </c>
      <c r="I32" s="12">
        <v>1</v>
      </c>
      <c r="J32" s="13">
        <f>$I32*($D32-1)*$G32*PRODUCT(H8:H31)</f>
        <v>2592</v>
      </c>
      <c r="K32" s="13">
        <f>(1-$I32)*($D32-1)*$G32*PRODUCT(H8:H31)</f>
        <v>0</v>
      </c>
      <c r="L32" s="13">
        <f t="shared" si="19"/>
        <v>54</v>
      </c>
      <c r="M32" s="13">
        <f t="shared" si="20"/>
        <v>0</v>
      </c>
      <c r="N32" s="13">
        <f t="shared" si="3"/>
        <v>0</v>
      </c>
      <c r="O32" s="13">
        <f t="shared" si="21"/>
        <v>1500054</v>
      </c>
      <c r="P32" s="12">
        <f t="shared" ref="P32:P36" si="23">(O32-G32*(D32-1)-1)/H32+1</f>
        <v>1500000</v>
      </c>
      <c r="Q32" s="12">
        <f t="shared" si="0"/>
        <v>28672</v>
      </c>
      <c r="R32" s="12">
        <f t="shared" si="4"/>
        <v>43008000000</v>
      </c>
      <c r="S32" s="14">
        <f t="shared" si="22"/>
        <v>14.336</v>
      </c>
      <c r="T32" s="1"/>
      <c r="U32" s="1"/>
      <c r="V32" s="1"/>
      <c r="W32" s="1"/>
      <c r="X32" s="1"/>
      <c r="Y32" s="1"/>
      <c r="Z32" s="1"/>
      <c r="AA32" s="1"/>
      <c r="AB32" s="1"/>
    </row>
    <row r="33" spans="1:28" ht="14" x14ac:dyDescent="0.2">
      <c r="A33" s="1"/>
      <c r="B33" s="11" t="s">
        <v>53</v>
      </c>
      <c r="C33" s="11" t="s">
        <v>50</v>
      </c>
      <c r="D33" s="12">
        <v>3</v>
      </c>
      <c r="E33" s="12">
        <f t="shared" si="1"/>
        <v>64</v>
      </c>
      <c r="F33" s="12">
        <f>F29</f>
        <v>64</v>
      </c>
      <c r="G33" s="12">
        <v>1</v>
      </c>
      <c r="H33" s="12">
        <v>1</v>
      </c>
      <c r="I33" s="12">
        <v>1</v>
      </c>
      <c r="J33" s="13">
        <f>$I33*($D33-1)*$G33*PRODUCT(H8:H32)</f>
        <v>96</v>
      </c>
      <c r="K33" s="13">
        <f>(1-$I33)*($D33-1)*$G33*PRODUCT(H8:H32)</f>
        <v>0</v>
      </c>
      <c r="L33" s="13">
        <f t="shared" si="19"/>
        <v>2</v>
      </c>
      <c r="M33" s="13">
        <f t="shared" si="20"/>
        <v>0</v>
      </c>
      <c r="N33" s="13">
        <f t="shared" si="3"/>
        <v>0</v>
      </c>
      <c r="O33" s="13">
        <f t="shared" si="21"/>
        <v>1500002</v>
      </c>
      <c r="P33" s="12">
        <f t="shared" si="23"/>
        <v>1500000</v>
      </c>
      <c r="Q33" s="12">
        <f t="shared" si="0"/>
        <v>12288</v>
      </c>
      <c r="R33" s="12">
        <f t="shared" si="4"/>
        <v>18432000000</v>
      </c>
      <c r="S33" s="14">
        <f t="shared" si="22"/>
        <v>6.1440000000000001</v>
      </c>
      <c r="T33" s="1"/>
      <c r="U33" s="1"/>
      <c r="V33" s="1"/>
      <c r="W33" s="1"/>
      <c r="X33" s="1"/>
      <c r="Y33" s="1"/>
      <c r="Z33" s="1"/>
      <c r="AA33" s="1"/>
      <c r="AB33" s="1"/>
    </row>
    <row r="34" spans="1:28" ht="14" x14ac:dyDescent="0.2">
      <c r="A34" s="1"/>
      <c r="B34" s="11" t="s">
        <v>54</v>
      </c>
      <c r="C34" s="11" t="s">
        <v>50</v>
      </c>
      <c r="D34" s="12">
        <v>7</v>
      </c>
      <c r="E34" s="12">
        <f t="shared" si="1"/>
        <v>64</v>
      </c>
      <c r="F34" s="12">
        <f>F29</f>
        <v>64</v>
      </c>
      <c r="G34" s="12">
        <v>27</v>
      </c>
      <c r="H34" s="12">
        <v>1</v>
      </c>
      <c r="I34" s="12">
        <v>1</v>
      </c>
      <c r="J34" s="13">
        <f>$I34*($D34-1)*$G34*PRODUCT(H8:H33)</f>
        <v>7776</v>
      </c>
      <c r="K34" s="13">
        <f>(1-$I34)*($D34-1)*$G34*PRODUCT(H8:H33)</f>
        <v>0</v>
      </c>
      <c r="L34" s="13">
        <f t="shared" si="19"/>
        <v>162</v>
      </c>
      <c r="M34" s="13">
        <f t="shared" si="20"/>
        <v>0</v>
      </c>
      <c r="N34" s="13">
        <f t="shared" si="3"/>
        <v>0</v>
      </c>
      <c r="O34" s="13">
        <f t="shared" si="21"/>
        <v>1500162</v>
      </c>
      <c r="P34" s="12">
        <f t="shared" si="23"/>
        <v>1500000</v>
      </c>
      <c r="Q34" s="12">
        <f t="shared" si="0"/>
        <v>28672</v>
      </c>
      <c r="R34" s="12">
        <f t="shared" si="4"/>
        <v>43008000000</v>
      </c>
      <c r="S34" s="14">
        <f t="shared" si="22"/>
        <v>14.336</v>
      </c>
      <c r="T34" s="1"/>
      <c r="U34" s="1"/>
      <c r="V34" s="1"/>
      <c r="W34" s="1"/>
      <c r="X34" s="1"/>
      <c r="Y34" s="1"/>
      <c r="Z34" s="1"/>
      <c r="AA34" s="1"/>
      <c r="AB34" s="1"/>
    </row>
    <row r="35" spans="1:28" ht="14" x14ac:dyDescent="0.2">
      <c r="A35" s="1"/>
      <c r="B35" s="11" t="s">
        <v>55</v>
      </c>
      <c r="C35" s="11" t="s">
        <v>50</v>
      </c>
      <c r="D35" s="12">
        <v>3</v>
      </c>
      <c r="E35" s="12">
        <f t="shared" si="1"/>
        <v>64</v>
      </c>
      <c r="F35" s="12">
        <f>F29</f>
        <v>64</v>
      </c>
      <c r="G35" s="12">
        <v>1</v>
      </c>
      <c r="H35" s="12">
        <v>1</v>
      </c>
      <c r="I35" s="12">
        <v>1</v>
      </c>
      <c r="J35" s="13">
        <f>$I35*($D35-1)*$G35*PRODUCT(H8:H34)</f>
        <v>96</v>
      </c>
      <c r="K35" s="13">
        <f>(1-$I35)*($D35-1)*$G35*PRODUCT(H8:H34)</f>
        <v>0</v>
      </c>
      <c r="L35" s="13">
        <f t="shared" si="19"/>
        <v>2</v>
      </c>
      <c r="M35" s="13">
        <f t="shared" si="20"/>
        <v>0</v>
      </c>
      <c r="N35" s="13">
        <f t="shared" si="3"/>
        <v>0</v>
      </c>
      <c r="O35" s="13">
        <f t="shared" si="21"/>
        <v>1500002</v>
      </c>
      <c r="P35" s="12">
        <f t="shared" si="23"/>
        <v>1500000</v>
      </c>
      <c r="Q35" s="12">
        <f t="shared" si="0"/>
        <v>12288</v>
      </c>
      <c r="R35" s="12">
        <f t="shared" si="4"/>
        <v>18432000000</v>
      </c>
      <c r="S35" s="14">
        <f t="shared" si="22"/>
        <v>6.1440000000000001</v>
      </c>
      <c r="T35" s="1"/>
      <c r="U35" s="1"/>
      <c r="V35" s="1"/>
      <c r="W35" s="1"/>
      <c r="X35" s="1"/>
      <c r="Y35" s="1"/>
      <c r="Z35" s="1"/>
      <c r="AA35" s="1"/>
      <c r="AB35" s="1"/>
    </row>
    <row r="36" spans="1:28" ht="14" x14ac:dyDescent="0.2">
      <c r="A36" s="1"/>
      <c r="B36" s="11" t="s">
        <v>56</v>
      </c>
      <c r="C36" s="11" t="s">
        <v>57</v>
      </c>
      <c r="D36" s="12">
        <f>2*H36</f>
        <v>10</v>
      </c>
      <c r="E36" s="12">
        <f t="shared" si="1"/>
        <v>64</v>
      </c>
      <c r="F36" s="12">
        <v>160</v>
      </c>
      <c r="G36" s="12">
        <v>1</v>
      </c>
      <c r="H36" s="12">
        <v>5</v>
      </c>
      <c r="I36" s="12">
        <v>1</v>
      </c>
      <c r="J36" s="13">
        <f>$I36*($D36-1)*$G36*PRODUCT(H8:H35)</f>
        <v>432</v>
      </c>
      <c r="K36" s="13">
        <f>(1-$I36)*($D36-1)*$G36*PRODUCT(H8:H35)</f>
        <v>0</v>
      </c>
      <c r="L36" s="13">
        <f t="shared" si="19"/>
        <v>5</v>
      </c>
      <c r="M36" s="13">
        <f t="shared" si="20"/>
        <v>0</v>
      </c>
      <c r="N36" s="13">
        <f t="shared" si="3"/>
        <v>0</v>
      </c>
      <c r="O36" s="13">
        <f t="shared" si="21"/>
        <v>1500005</v>
      </c>
      <c r="P36" s="12">
        <f t="shared" si="23"/>
        <v>300000</v>
      </c>
      <c r="Q36" s="12">
        <f t="shared" si="0"/>
        <v>102400</v>
      </c>
      <c r="R36" s="12">
        <f t="shared" si="4"/>
        <v>30720000000</v>
      </c>
      <c r="S36" s="14">
        <f t="shared" si="22"/>
        <v>10.24</v>
      </c>
      <c r="T36" s="1"/>
      <c r="U36" s="1"/>
      <c r="V36" s="1"/>
      <c r="W36" s="1"/>
      <c r="X36" s="1"/>
      <c r="Y36" s="1"/>
      <c r="Z36" s="1"/>
      <c r="AA36" s="1"/>
      <c r="AB36" s="1"/>
    </row>
    <row r="37" spans="1:28" ht="14" x14ac:dyDescent="0.2">
      <c r="A37" s="1"/>
      <c r="B37" s="1"/>
      <c r="C37" s="1"/>
      <c r="D37" s="1"/>
      <c r="E37" s="1"/>
      <c r="F37" s="1"/>
      <c r="G37" s="1"/>
      <c r="I37" s="1"/>
      <c r="J37" s="1"/>
      <c r="K37" s="1"/>
      <c r="L37" s="1"/>
      <c r="M37" s="1"/>
      <c r="N37" s="1"/>
      <c r="O37" s="1"/>
      <c r="P37" s="1"/>
      <c r="Q37" s="1"/>
      <c r="R37" s="1"/>
      <c r="S37" s="1"/>
      <c r="T37" s="1"/>
      <c r="U37" s="1"/>
      <c r="V37" s="1"/>
      <c r="W37" s="1"/>
      <c r="X37" s="1"/>
      <c r="Y37" s="1"/>
      <c r="Z37" s="1"/>
      <c r="AA37" s="1"/>
      <c r="AB37" s="1"/>
    </row>
    <row r="38" spans="1:28" ht="16" x14ac:dyDescent="0.2">
      <c r="A38" s="1"/>
      <c r="B38" s="15" t="s">
        <v>58</v>
      </c>
      <c r="C38" s="15" t="s">
        <v>59</v>
      </c>
      <c r="D38" s="15"/>
      <c r="E38" s="1"/>
      <c r="F38" s="1"/>
      <c r="M38" s="7" t="s">
        <v>60</v>
      </c>
      <c r="N38" s="7" t="s">
        <v>61</v>
      </c>
      <c r="O38" s="7" t="s">
        <v>62</v>
      </c>
      <c r="P38" s="7" t="s">
        <v>63</v>
      </c>
      <c r="Q38" s="7" t="s">
        <v>64</v>
      </c>
      <c r="R38" s="7" t="s">
        <v>65</v>
      </c>
      <c r="S38" s="7" t="s">
        <v>66</v>
      </c>
      <c r="T38" s="1"/>
      <c r="U38" s="1"/>
      <c r="V38" s="1"/>
      <c r="W38" s="1"/>
      <c r="X38" s="1"/>
      <c r="Y38" s="1"/>
      <c r="Z38" s="1"/>
      <c r="AA38" s="1"/>
      <c r="AB38" s="1"/>
    </row>
    <row r="39" spans="1:28" ht="16" x14ac:dyDescent="0.2">
      <c r="A39" s="1"/>
      <c r="B39" s="15" t="s">
        <v>67</v>
      </c>
      <c r="C39" s="15" t="s">
        <v>68</v>
      </c>
      <c r="D39" s="15"/>
      <c r="E39" s="1"/>
      <c r="F39" s="1"/>
      <c r="L39" s="3"/>
      <c r="M39" s="8">
        <f>PRODUCT(H8:H36)</f>
        <v>240</v>
      </c>
      <c r="N39" s="4">
        <f>SUM(J8:J36)</f>
        <v>13844</v>
      </c>
      <c r="O39" s="4">
        <f>SUM(K8:K36)</f>
        <v>240</v>
      </c>
      <c r="P39" s="4">
        <f>SUM(N39:O39)+1</f>
        <v>14085</v>
      </c>
      <c r="Q39" s="8">
        <f>SUM(Q8:Q36)</f>
        <v>254392</v>
      </c>
      <c r="R39" s="8">
        <f>SUM(R8:R36)</f>
        <v>566208000000</v>
      </c>
      <c r="S39" s="8">
        <f>SUM(S8:S36)*2</f>
        <v>377.47200000000009</v>
      </c>
      <c r="T39" s="1"/>
      <c r="U39" s="1"/>
      <c r="V39" s="1"/>
      <c r="W39" s="1"/>
      <c r="X39" s="1"/>
      <c r="Y39" s="1"/>
      <c r="Z39" s="1"/>
      <c r="AA39" s="1"/>
      <c r="AB39" s="1"/>
    </row>
    <row r="40" spans="1:28" ht="16" x14ac:dyDescent="0.2">
      <c r="A40" s="1"/>
      <c r="B40" s="15"/>
      <c r="C40" s="16">
        <v>1</v>
      </c>
      <c r="D40" s="15" t="s">
        <v>69</v>
      </c>
      <c r="E40" s="1"/>
      <c r="F40" s="1"/>
      <c r="L40" s="3"/>
      <c r="M40" s="3"/>
      <c r="N40" s="3"/>
      <c r="O40" s="3"/>
      <c r="P40" s="1"/>
      <c r="Q40" s="1"/>
      <c r="R40" s="1"/>
      <c r="S40" s="1"/>
      <c r="T40" s="1"/>
      <c r="U40" s="1"/>
      <c r="V40" s="1"/>
      <c r="W40" s="1"/>
      <c r="X40" s="1"/>
      <c r="Y40" s="1"/>
      <c r="Z40" s="1"/>
      <c r="AA40" s="1"/>
      <c r="AB40" s="1"/>
    </row>
    <row r="41" spans="1:28" ht="16" x14ac:dyDescent="0.2">
      <c r="A41" s="1"/>
      <c r="B41" s="15"/>
      <c r="C41" s="16">
        <v>0</v>
      </c>
      <c r="D41" s="15" t="s">
        <v>70</v>
      </c>
      <c r="E41" s="1"/>
      <c r="F41" s="1"/>
      <c r="L41" s="1"/>
      <c r="M41" s="1"/>
      <c r="N41" s="1"/>
      <c r="O41" s="1"/>
      <c r="P41" s="1"/>
      <c r="Q41" s="1"/>
      <c r="R41" s="1"/>
      <c r="S41" s="1"/>
      <c r="T41" s="1"/>
      <c r="U41" s="1"/>
      <c r="V41" s="1"/>
      <c r="W41" s="1"/>
      <c r="X41" s="1"/>
      <c r="Y41" s="1"/>
      <c r="Z41" s="1"/>
      <c r="AA41" s="1"/>
      <c r="AB41" s="1"/>
    </row>
    <row r="42" spans="1:28" ht="16" x14ac:dyDescent="0.2">
      <c r="A42" s="1"/>
      <c r="B42" s="15"/>
      <c r="C42" s="16">
        <v>0.5</v>
      </c>
      <c r="D42" s="15" t="s">
        <v>71</v>
      </c>
      <c r="E42" s="1"/>
      <c r="F42" s="1"/>
      <c r="L42" s="1"/>
      <c r="M42" s="1"/>
      <c r="N42" s="1"/>
      <c r="O42" s="1"/>
      <c r="Q42" s="1"/>
      <c r="R42" s="1"/>
      <c r="S42" s="1"/>
      <c r="U42" s="1"/>
      <c r="V42" s="1"/>
      <c r="W42" s="1"/>
      <c r="X42" s="1"/>
      <c r="Y42" s="1"/>
      <c r="Z42" s="1"/>
      <c r="AA42" s="1"/>
      <c r="AB42" s="1"/>
    </row>
    <row r="43" spans="1:28" ht="16" x14ac:dyDescent="0.2">
      <c r="A43" s="1"/>
      <c r="B43" s="15" t="s">
        <v>72</v>
      </c>
      <c r="C43" s="15" t="s">
        <v>73</v>
      </c>
      <c r="D43" s="15"/>
      <c r="E43" s="1"/>
      <c r="L43" s="1"/>
      <c r="M43" s="1"/>
      <c r="N43" s="1"/>
      <c r="O43" s="1"/>
      <c r="Q43" s="1"/>
      <c r="R43" s="1"/>
      <c r="S43" s="1"/>
      <c r="T43" s="3"/>
      <c r="U43" s="3"/>
      <c r="V43" s="1"/>
      <c r="W43" s="1"/>
      <c r="X43" s="1"/>
      <c r="Y43" s="1"/>
      <c r="Z43" s="1"/>
      <c r="AA43" s="1"/>
      <c r="AB43" s="1"/>
    </row>
    <row r="44" spans="1:28" ht="16" x14ac:dyDescent="0.2">
      <c r="A44" s="1"/>
      <c r="B44" s="15"/>
      <c r="C44" s="15" t="s">
        <v>74</v>
      </c>
      <c r="D44" s="15"/>
      <c r="E44" s="1"/>
      <c r="L44" s="1"/>
      <c r="M44" s="1"/>
      <c r="N44" s="1"/>
      <c r="O44" s="1"/>
      <c r="Q44" s="1"/>
      <c r="R44" s="1"/>
      <c r="S44" s="1"/>
      <c r="T44" s="3"/>
      <c r="U44" s="3"/>
      <c r="V44" s="1"/>
      <c r="W44" s="1"/>
      <c r="X44" s="1"/>
      <c r="Y44" s="1"/>
      <c r="Z44" s="1"/>
      <c r="AA44" s="1"/>
      <c r="AB44" s="1"/>
    </row>
    <row r="45" spans="1:28" ht="16" x14ac:dyDescent="0.2">
      <c r="A45" s="1"/>
      <c r="B45" s="15"/>
      <c r="C45" s="15"/>
      <c r="D45" s="15"/>
      <c r="E45" s="1"/>
      <c r="L45" s="1"/>
      <c r="M45" s="1"/>
      <c r="N45" s="1"/>
      <c r="O45" s="1"/>
      <c r="Q45" s="1"/>
      <c r="R45" s="1"/>
      <c r="S45" s="1"/>
      <c r="T45" s="3"/>
      <c r="U45" s="3"/>
      <c r="V45" s="1"/>
      <c r="W45" s="1"/>
      <c r="X45" s="1"/>
      <c r="Y45" s="1"/>
      <c r="Z45" s="1"/>
      <c r="AA45" s="1"/>
      <c r="AB45" s="1"/>
    </row>
    <row r="46" spans="1:28" ht="16" x14ac:dyDescent="0.2">
      <c r="A46" s="1"/>
      <c r="B46" s="15" t="s">
        <v>75</v>
      </c>
      <c r="C46" s="15" t="s">
        <v>76</v>
      </c>
      <c r="D46" s="15"/>
      <c r="E46" s="1"/>
      <c r="L46" s="1"/>
      <c r="M46" s="1"/>
      <c r="N46" s="1"/>
      <c r="O46" s="1"/>
      <c r="Q46" s="1"/>
      <c r="R46" s="1"/>
      <c r="T46" s="3"/>
      <c r="U46" s="3"/>
      <c r="V46" s="1"/>
      <c r="W46" s="1"/>
      <c r="X46" s="1"/>
      <c r="Y46" s="1"/>
      <c r="Z46" s="1"/>
      <c r="AA46" s="1"/>
      <c r="AB46" s="1"/>
    </row>
    <row r="47" spans="1:28" ht="16" x14ac:dyDescent="0.2">
      <c r="A47" s="1"/>
      <c r="B47" s="15" t="s">
        <v>77</v>
      </c>
      <c r="C47" s="15" t="s">
        <v>78</v>
      </c>
      <c r="D47" s="15"/>
      <c r="E47" s="1"/>
      <c r="L47" s="1"/>
      <c r="M47" s="1"/>
      <c r="N47" s="1"/>
      <c r="O47" s="1"/>
      <c r="Q47" s="1"/>
      <c r="R47" s="1"/>
      <c r="S47" s="1"/>
      <c r="T47" s="3"/>
      <c r="U47" s="1"/>
      <c r="V47" s="1"/>
      <c r="W47" s="1"/>
      <c r="X47" s="1"/>
      <c r="Y47" s="1"/>
      <c r="Z47" s="1"/>
      <c r="AA47" s="1"/>
      <c r="AB47" s="1"/>
    </row>
    <row r="48" spans="1:28" ht="16" x14ac:dyDescent="0.2">
      <c r="A48" s="1"/>
      <c r="B48" s="15" t="s">
        <v>79</v>
      </c>
      <c r="C48" s="17" t="s">
        <v>80</v>
      </c>
      <c r="D48" s="15"/>
      <c r="E48" s="1"/>
      <c r="G48" s="1"/>
      <c r="H48" s="1"/>
      <c r="I48" s="1"/>
      <c r="J48" s="1"/>
      <c r="K48" s="1"/>
      <c r="L48" s="1"/>
      <c r="M48" s="1"/>
      <c r="N48" s="1"/>
      <c r="O48" s="1"/>
      <c r="Q48" s="1"/>
      <c r="R48" s="1"/>
      <c r="S48" s="1"/>
      <c r="T48" s="1"/>
      <c r="U48" s="1"/>
      <c r="V48" s="1"/>
      <c r="W48" s="1"/>
      <c r="X48" s="1"/>
      <c r="Y48" s="1"/>
      <c r="Z48" s="1"/>
      <c r="AA48" s="1"/>
      <c r="AB48" s="1"/>
    </row>
    <row r="49" spans="1:28" ht="14" x14ac:dyDescent="0.2">
      <c r="A49" s="1"/>
      <c r="B49" s="1"/>
      <c r="C49" s="1"/>
      <c r="D49" s="1"/>
      <c r="E49" s="1"/>
      <c r="G49" s="1"/>
      <c r="H49" s="1"/>
      <c r="I49" s="1"/>
      <c r="J49" s="1"/>
      <c r="K49" s="1"/>
      <c r="L49" s="1"/>
      <c r="M49" s="1"/>
      <c r="N49" s="1"/>
      <c r="O49" s="1"/>
      <c r="Q49" s="1"/>
      <c r="R49" s="1"/>
      <c r="S49" s="1"/>
      <c r="T49" s="1"/>
      <c r="U49" s="1"/>
      <c r="V49" s="1"/>
      <c r="W49" s="1"/>
      <c r="X49" s="1"/>
      <c r="Y49" s="1"/>
      <c r="Z49" s="1"/>
      <c r="AA49" s="1"/>
      <c r="AB49" s="1"/>
    </row>
    <row r="50" spans="1:28" ht="14" x14ac:dyDescent="0.2">
      <c r="A50" s="1"/>
      <c r="B50" s="1"/>
      <c r="C50" s="1"/>
      <c r="D50" s="1"/>
      <c r="E50" s="1"/>
      <c r="G50" s="1"/>
      <c r="H50" s="1"/>
      <c r="I50" s="1"/>
      <c r="J50" s="1"/>
      <c r="K50" s="1"/>
      <c r="L50" s="1"/>
      <c r="M50" s="1"/>
      <c r="N50" s="1"/>
      <c r="O50" s="1"/>
      <c r="Q50" s="1"/>
      <c r="R50" s="1"/>
      <c r="S50" s="1"/>
      <c r="T50" s="1"/>
      <c r="U50" s="1"/>
      <c r="V50" s="1"/>
      <c r="W50" s="1"/>
      <c r="X50" s="1"/>
      <c r="Y50" s="1"/>
      <c r="Z50" s="1"/>
      <c r="AA50" s="1"/>
      <c r="AB50" s="1"/>
    </row>
    <row r="51" spans="1:28" ht="14" x14ac:dyDescent="0.2">
      <c r="A51" s="1"/>
      <c r="B51" s="1"/>
      <c r="C51" s="1"/>
      <c r="D51" s="1"/>
      <c r="E51" s="1"/>
      <c r="G51" s="1"/>
      <c r="H51" s="1"/>
      <c r="I51" s="1"/>
      <c r="J51" s="1"/>
      <c r="K51" s="1"/>
      <c r="L51" s="1"/>
      <c r="M51" s="1"/>
      <c r="N51" s="1"/>
      <c r="O51" s="1"/>
      <c r="Q51" s="1"/>
      <c r="R51" s="1"/>
      <c r="S51" s="1"/>
      <c r="T51" s="1"/>
      <c r="U51" s="1"/>
      <c r="V51" s="1"/>
      <c r="W51" s="1"/>
      <c r="X51" s="1"/>
      <c r="Y51" s="1"/>
      <c r="Z51" s="1"/>
      <c r="AA51" s="1"/>
      <c r="AB51" s="1"/>
    </row>
    <row r="52" spans="1:28" ht="14" x14ac:dyDescent="0.2">
      <c r="A52" s="1"/>
      <c r="B52" s="1"/>
      <c r="C52" s="1"/>
      <c r="D52" s="1"/>
      <c r="E52" s="1"/>
      <c r="G52" s="1"/>
      <c r="H52" s="1"/>
      <c r="I52" s="1"/>
      <c r="J52" s="1"/>
      <c r="K52" s="1"/>
      <c r="L52" s="1"/>
      <c r="M52" s="1"/>
      <c r="N52" s="1"/>
      <c r="O52" s="1"/>
      <c r="Q52" s="1"/>
      <c r="R52" s="1"/>
      <c r="S52" s="1"/>
      <c r="T52" s="1"/>
      <c r="U52" s="1"/>
      <c r="V52" s="1"/>
      <c r="W52" s="1"/>
      <c r="X52" s="1"/>
      <c r="Y52" s="1"/>
      <c r="Z52" s="1"/>
      <c r="AA52" s="1"/>
      <c r="AB52" s="1"/>
    </row>
    <row r="53" spans="1:28" ht="14"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4"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4"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4"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4"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4"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4"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4"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4"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4"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4"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4"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4"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4"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4"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4"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4"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4"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4"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4"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4"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4"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4"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4"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4"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4"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4"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4"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sheetData>
  <pageMargins left="0" right="0" top="0" bottom="0" header="0" footer="0"/>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DB51-6910-A543-98B7-3000942A23A6}">
  <dimension ref="B3:K8"/>
  <sheetViews>
    <sheetView workbookViewId="0">
      <selection activeCell="D27" sqref="D27"/>
    </sheetView>
  </sheetViews>
  <sheetFormatPr baseColWidth="10" defaultRowHeight="15" x14ac:dyDescent="0.2"/>
  <cols>
    <col min="2" max="2" width="27.1640625" bestFit="1" customWidth="1"/>
    <col min="3" max="3" width="26.1640625" customWidth="1"/>
    <col min="4" max="4" width="17.83203125" bestFit="1" customWidth="1"/>
    <col min="5" max="5" width="12.33203125" bestFit="1" customWidth="1"/>
    <col min="6" max="6" width="14" bestFit="1" customWidth="1"/>
    <col min="7" max="7" width="33.5" bestFit="1" customWidth="1"/>
    <col min="8" max="8" width="35.5" bestFit="1" customWidth="1"/>
    <col min="9" max="9" width="33.33203125" bestFit="1" customWidth="1"/>
    <col min="10" max="10" width="17.83203125" customWidth="1"/>
    <col min="11" max="11" width="26.83203125" bestFit="1" customWidth="1"/>
  </cols>
  <sheetData>
    <row r="3" spans="2:11" ht="21" x14ac:dyDescent="0.25">
      <c r="B3" s="54" t="s">
        <v>81</v>
      </c>
      <c r="C3" s="54" t="s">
        <v>82</v>
      </c>
      <c r="D3" s="54" t="s">
        <v>83</v>
      </c>
      <c r="E3" s="54" t="s">
        <v>84</v>
      </c>
      <c r="F3" s="54" t="s">
        <v>85</v>
      </c>
      <c r="G3" s="54" t="s">
        <v>86</v>
      </c>
      <c r="H3" s="54" t="s">
        <v>87</v>
      </c>
      <c r="I3" s="54" t="s">
        <v>88</v>
      </c>
      <c r="J3" s="54" t="s">
        <v>89</v>
      </c>
      <c r="K3" s="54" t="s">
        <v>90</v>
      </c>
    </row>
    <row r="4" spans="2:11" ht="19" x14ac:dyDescent="0.25">
      <c r="B4" s="55">
        <v>160</v>
      </c>
      <c r="C4" s="55">
        <v>12</v>
      </c>
      <c r="D4" s="55">
        <v>1024</v>
      </c>
      <c r="E4" s="55">
        <v>6</v>
      </c>
      <c r="F4" s="55">
        <v>100</v>
      </c>
      <c r="G4" s="55">
        <f>F4*B4*C4*E4/10^6</f>
        <v>1.1519999999999999</v>
      </c>
      <c r="H4" s="55">
        <f>F4*C4*D4*E4/10^6</f>
        <v>7.3727999999999998</v>
      </c>
      <c r="I4" s="55">
        <f>F4*C4*B4*E4/10^6</f>
        <v>1.1519999999999999</v>
      </c>
      <c r="J4" s="55">
        <f>SUM(G4:I4)*2</f>
        <v>19.353599999999997</v>
      </c>
      <c r="K4" s="55">
        <f>SUM(G4:H4)*2</f>
        <v>17.049599999999998</v>
      </c>
    </row>
    <row r="7" spans="2:11" ht="19" x14ac:dyDescent="0.25">
      <c r="B7" s="18" t="s">
        <v>91</v>
      </c>
      <c r="C7" s="19" t="s">
        <v>92</v>
      </c>
    </row>
    <row r="8" spans="2:11" ht="19" x14ac:dyDescent="0.25">
      <c r="C8" s="19"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DE61-0DE8-8947-80BD-B3185A4B1D7D}">
  <sheetPr>
    <outlinePr summaryBelow="0" summaryRight="0"/>
  </sheetPr>
  <dimension ref="A1:Z1005"/>
  <sheetViews>
    <sheetView zoomScale="140" zoomScaleNormal="140" workbookViewId="0">
      <selection activeCell="B55" sqref="B55:C57"/>
    </sheetView>
  </sheetViews>
  <sheetFormatPr baseColWidth="10" defaultColWidth="12.5" defaultRowHeight="15.75" customHeight="1" x14ac:dyDescent="0.2"/>
  <cols>
    <col min="1" max="1" width="12.5" style="21"/>
    <col min="2" max="2" width="35.83203125" style="21" bestFit="1" customWidth="1"/>
    <col min="3" max="9" width="12.5" style="21"/>
    <col min="10" max="10" width="15.6640625" style="21" bestFit="1" customWidth="1"/>
    <col min="11" max="11" width="16.83203125" style="21" bestFit="1" customWidth="1"/>
    <col min="12" max="13" width="12.5" style="21"/>
    <col min="14" max="14" width="21.83203125" style="21" bestFit="1" customWidth="1"/>
    <col min="15" max="15" width="22.33203125" style="21" bestFit="1" customWidth="1"/>
    <col min="16" max="16384" width="12.5" style="21"/>
  </cols>
  <sheetData>
    <row r="1" spans="1:26" ht="15.7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ht="15.75" customHeight="1" x14ac:dyDescent="0.2">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2">
      <c r="A3" s="20"/>
      <c r="B3" s="2" t="s">
        <v>94</v>
      </c>
      <c r="C3" s="20">
        <v>300000</v>
      </c>
      <c r="D3" s="20"/>
      <c r="E3" s="20"/>
      <c r="F3" s="20"/>
      <c r="G3" s="20"/>
      <c r="H3" s="20"/>
      <c r="I3" s="20"/>
      <c r="J3" s="20"/>
      <c r="K3" s="20"/>
      <c r="L3" s="20"/>
      <c r="M3" s="20"/>
      <c r="N3" s="20"/>
      <c r="O3" s="20"/>
      <c r="P3" s="20"/>
      <c r="Q3" s="20"/>
      <c r="R3" s="20"/>
      <c r="S3" s="20"/>
      <c r="T3" s="20"/>
      <c r="U3" s="20"/>
      <c r="V3" s="20"/>
      <c r="W3" s="20"/>
      <c r="X3" s="20"/>
      <c r="Y3" s="20"/>
      <c r="Z3" s="20"/>
    </row>
    <row r="4" spans="1:26" ht="15" x14ac:dyDescent="0.2">
      <c r="A4" s="20"/>
      <c r="B4" s="2" t="s">
        <v>95</v>
      </c>
      <c r="C4" s="20">
        <v>100</v>
      </c>
      <c r="D4" s="22"/>
      <c r="E4" s="23"/>
      <c r="F4" s="23"/>
      <c r="G4" s="23"/>
      <c r="H4" s="23"/>
      <c r="I4" s="20"/>
      <c r="J4" s="20"/>
      <c r="P4" s="20"/>
      <c r="Q4" s="20"/>
      <c r="R4" s="20"/>
      <c r="S4" s="20"/>
      <c r="T4" s="20"/>
      <c r="U4" s="20"/>
      <c r="V4" s="20"/>
      <c r="W4" s="20"/>
      <c r="X4" s="20"/>
      <c r="Y4" s="20"/>
      <c r="Z4" s="20"/>
    </row>
    <row r="5" spans="1:26" ht="15" x14ac:dyDescent="0.2">
      <c r="A5" s="20"/>
      <c r="B5" s="2" t="s">
        <v>2</v>
      </c>
      <c r="C5" s="20">
        <f>C3/C4</f>
        <v>3000</v>
      </c>
      <c r="D5" s="24"/>
      <c r="E5" s="25"/>
      <c r="F5" s="25"/>
      <c r="G5" s="26"/>
      <c r="H5" s="25"/>
      <c r="I5" s="25"/>
      <c r="J5" s="27"/>
      <c r="P5" s="20"/>
      <c r="Q5" s="20"/>
      <c r="R5" s="20"/>
      <c r="S5" s="20"/>
      <c r="T5" s="20"/>
      <c r="U5" s="20"/>
      <c r="V5" s="20"/>
      <c r="W5" s="20"/>
      <c r="X5" s="20"/>
      <c r="Y5" s="20"/>
      <c r="Z5" s="20"/>
    </row>
    <row r="6" spans="1:26" ht="15.75" customHeight="1" x14ac:dyDescent="0.2">
      <c r="A6" s="20"/>
      <c r="B6" s="2" t="s">
        <v>96</v>
      </c>
      <c r="C6" s="20">
        <v>160</v>
      </c>
      <c r="D6" s="20"/>
      <c r="E6" s="20"/>
      <c r="F6" s="20"/>
      <c r="G6" s="20"/>
      <c r="H6" s="20"/>
      <c r="I6" s="20"/>
      <c r="J6" s="20"/>
      <c r="K6" s="20"/>
      <c r="L6" s="20"/>
      <c r="M6" s="20"/>
      <c r="N6" s="20"/>
      <c r="O6" s="20"/>
      <c r="P6" s="20"/>
      <c r="Q6" s="20"/>
      <c r="R6" s="20"/>
      <c r="S6" s="20"/>
      <c r="T6" s="20"/>
      <c r="U6" s="20"/>
      <c r="V6" s="20"/>
      <c r="W6" s="20"/>
      <c r="X6" s="20"/>
      <c r="Y6" s="20"/>
      <c r="Z6" s="20"/>
    </row>
    <row r="7" spans="1:26" ht="15.75" customHeight="1" x14ac:dyDescent="0.2">
      <c r="A7" s="20"/>
      <c r="B7" s="2" t="s">
        <v>97</v>
      </c>
      <c r="C7" s="20">
        <v>240</v>
      </c>
      <c r="D7" s="20"/>
      <c r="E7" s="20"/>
      <c r="F7" s="20"/>
      <c r="G7" s="20"/>
      <c r="H7" s="20"/>
      <c r="I7" s="20"/>
      <c r="J7" s="20"/>
      <c r="K7" s="20"/>
      <c r="L7" s="20"/>
      <c r="M7" s="20"/>
      <c r="N7" s="20"/>
      <c r="O7" s="20"/>
      <c r="P7" s="20"/>
      <c r="Q7" s="20"/>
      <c r="R7" s="20"/>
      <c r="S7" s="20"/>
      <c r="T7" s="20"/>
      <c r="U7" s="20"/>
      <c r="V7" s="20"/>
      <c r="W7" s="20"/>
      <c r="X7" s="20"/>
      <c r="Y7" s="20"/>
      <c r="Z7" s="20"/>
    </row>
    <row r="8" spans="1:26" ht="15.75" customHeight="1" x14ac:dyDescent="0.2">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ht="15" x14ac:dyDescent="0.2">
      <c r="A9" s="20"/>
      <c r="B9" s="28" t="s">
        <v>3</v>
      </c>
      <c r="C9" s="29" t="s">
        <v>4</v>
      </c>
      <c r="D9" s="30" t="s">
        <v>98</v>
      </c>
      <c r="E9" s="30" t="s">
        <v>6</v>
      </c>
      <c r="F9" s="30" t="s">
        <v>7</v>
      </c>
      <c r="G9" s="30" t="s">
        <v>8</v>
      </c>
      <c r="H9" s="30" t="s">
        <v>9</v>
      </c>
      <c r="I9" s="30" t="s">
        <v>10</v>
      </c>
      <c r="J9" s="30" t="s">
        <v>99</v>
      </c>
      <c r="K9" s="30" t="s">
        <v>100</v>
      </c>
      <c r="L9" s="30" t="s">
        <v>13</v>
      </c>
      <c r="M9" s="30" t="s">
        <v>14</v>
      </c>
      <c r="N9" s="30" t="s">
        <v>15</v>
      </c>
      <c r="O9" s="30" t="s">
        <v>16</v>
      </c>
      <c r="P9" s="30" t="s">
        <v>17</v>
      </c>
      <c r="Q9" s="30" t="s">
        <v>18</v>
      </c>
      <c r="R9" s="30" t="s">
        <v>19</v>
      </c>
      <c r="S9" s="30" t="s">
        <v>20</v>
      </c>
      <c r="T9" s="20"/>
      <c r="U9" s="20"/>
      <c r="V9" s="20"/>
      <c r="W9" s="20"/>
      <c r="X9" s="20"/>
      <c r="Y9" s="20"/>
      <c r="Z9" s="20"/>
    </row>
    <row r="10" spans="1:26" ht="15.75" customHeight="1" x14ac:dyDescent="0.2">
      <c r="A10" s="20"/>
      <c r="B10" s="20" t="s">
        <v>101</v>
      </c>
      <c r="C10" s="31" t="s">
        <v>102</v>
      </c>
      <c r="D10" s="32">
        <f>H10</f>
        <v>5</v>
      </c>
      <c r="E10" s="32">
        <f>C6</f>
        <v>160</v>
      </c>
      <c r="F10" s="32">
        <v>64</v>
      </c>
      <c r="G10" s="32">
        <v>1</v>
      </c>
      <c r="H10" s="32">
        <v>5</v>
      </c>
      <c r="I10" s="32">
        <v>1</v>
      </c>
      <c r="J10" s="32">
        <f>($D10-$H10)*(1-$I10)</f>
        <v>0</v>
      </c>
      <c r="K10" s="32">
        <f>($D10-$H10)*$I10</f>
        <v>0</v>
      </c>
      <c r="L10" s="32">
        <f>($D10-$H10)*$I10</f>
        <v>0</v>
      </c>
      <c r="M10" s="32">
        <f>($D10-$H10)*(1-$I10)</f>
        <v>0</v>
      </c>
      <c r="N10" s="32">
        <v>0</v>
      </c>
      <c r="O10" s="32">
        <f>C3</f>
        <v>300000</v>
      </c>
      <c r="P10" s="32">
        <f>($C$3-1)*H10+G10*(D10-1)+1+L10+M10</f>
        <v>1500000</v>
      </c>
      <c r="Q10" s="32">
        <f>D10*E10*F10</f>
        <v>51200</v>
      </c>
      <c r="R10" s="32">
        <f>C3*D10*E10*F10</f>
        <v>15360000000</v>
      </c>
      <c r="S10" s="32">
        <f>R10/$C$5/10^6</f>
        <v>5.12</v>
      </c>
      <c r="T10" s="20"/>
      <c r="U10" s="20"/>
      <c r="V10" s="20"/>
      <c r="W10" s="20"/>
      <c r="X10" s="20"/>
      <c r="Y10" s="20"/>
      <c r="Z10" s="20"/>
    </row>
    <row r="11" spans="1:26" ht="15.75" customHeight="1" x14ac:dyDescent="0.2">
      <c r="A11" s="20"/>
      <c r="B11" s="20" t="s">
        <v>22</v>
      </c>
      <c r="C11" s="31" t="s">
        <v>103</v>
      </c>
      <c r="D11" s="32">
        <v>3</v>
      </c>
      <c r="E11" s="32">
        <f t="shared" ref="E11:E38" si="0">F10</f>
        <v>64</v>
      </c>
      <c r="F11" s="32">
        <f>F10</f>
        <v>64</v>
      </c>
      <c r="G11" s="32">
        <v>5</v>
      </c>
      <c r="H11" s="32">
        <v>1</v>
      </c>
      <c r="I11" s="33">
        <v>0.5</v>
      </c>
      <c r="J11" s="33">
        <f>$I11*($D11-1)*$G11/$H$10</f>
        <v>1</v>
      </c>
      <c r="K11" s="33">
        <f>(1-$I11)*($D11-1)*$G11/$H$10</f>
        <v>1</v>
      </c>
      <c r="L11" s="9">
        <f>(($D11-1)*$G11+1-$H11)*$I11</f>
        <v>5</v>
      </c>
      <c r="M11" s="9">
        <f>(($D11-1)*$G11+1-$H11)*(1-$I11)</f>
        <v>5</v>
      </c>
      <c r="N11" s="9">
        <f>CEILING((P10-H11)/H11+1, 1)*H11-P10</f>
        <v>0</v>
      </c>
      <c r="O11" s="9">
        <f>P10+L11+M11+N11</f>
        <v>1500010</v>
      </c>
      <c r="P11" s="32">
        <f>O11-G11*(D11-1)</f>
        <v>1500000</v>
      </c>
      <c r="Q11" s="32">
        <f>D11*E11*F11</f>
        <v>12288</v>
      </c>
      <c r="R11" s="32">
        <f>P11*D11*E11*F11</f>
        <v>18432000000</v>
      </c>
      <c r="S11" s="32">
        <f t="shared" ref="S11:S16" si="1">R11/$C$5/10^6</f>
        <v>6.1440000000000001</v>
      </c>
      <c r="T11" s="20"/>
      <c r="U11" s="20"/>
      <c r="V11" s="20"/>
      <c r="W11" s="20"/>
      <c r="X11" s="20"/>
      <c r="Y11" s="20"/>
      <c r="Z11" s="20"/>
    </row>
    <row r="12" spans="1:26" ht="15.75" customHeight="1" x14ac:dyDescent="0.2">
      <c r="A12" s="20"/>
      <c r="B12" s="20" t="s">
        <v>24</v>
      </c>
      <c r="C12" s="31" t="s">
        <v>103</v>
      </c>
      <c r="D12" s="32">
        <v>1</v>
      </c>
      <c r="E12" s="32">
        <f t="shared" si="0"/>
        <v>64</v>
      </c>
      <c r="F12" s="32">
        <f>F10</f>
        <v>64</v>
      </c>
      <c r="G12" s="32">
        <v>1</v>
      </c>
      <c r="H12" s="32">
        <v>1</v>
      </c>
      <c r="I12" s="33">
        <v>1</v>
      </c>
      <c r="J12" s="33">
        <f>$I12*($D12-1)*$G12/$H$10</f>
        <v>0</v>
      </c>
      <c r="K12" s="33">
        <f t="shared" ref="K12:K16" si="2">(1-$I12)*($D12-1)*$G12/$H$10</f>
        <v>0</v>
      </c>
      <c r="L12" s="9">
        <f t="shared" ref="L12:L16" si="3">(($D12-1)*$G12+1-$H12)*$I12</f>
        <v>0</v>
      </c>
      <c r="M12" s="9">
        <f t="shared" ref="M12:M16" si="4">(($D12-1)*$G12+1-$H12)*(1-$I12)</f>
        <v>0</v>
      </c>
      <c r="N12" s="9">
        <f t="shared" ref="N12:N16" si="5">CEILING((P11-H12)/H12+1, 1)*H12-P11</f>
        <v>0</v>
      </c>
      <c r="O12" s="9">
        <f t="shared" ref="O12:O16" si="6">P11+L12+M12+N12</f>
        <v>1500000</v>
      </c>
      <c r="P12" s="32">
        <f t="shared" ref="P12:P16" si="7">O12-G12*(D12-1)</f>
        <v>1500000</v>
      </c>
      <c r="Q12" s="32">
        <f>D12*E12*F12</f>
        <v>4096</v>
      </c>
      <c r="R12" s="32">
        <f>P12*D12*E12*F12</f>
        <v>6144000000</v>
      </c>
      <c r="S12" s="32">
        <f t="shared" si="1"/>
        <v>2.048</v>
      </c>
      <c r="T12" s="20"/>
      <c r="U12" s="20"/>
      <c r="V12" s="20"/>
      <c r="W12" s="20"/>
      <c r="X12" s="20"/>
      <c r="Y12" s="20"/>
      <c r="Z12" s="20"/>
    </row>
    <row r="13" spans="1:26" ht="15.75" customHeight="1" x14ac:dyDescent="0.2">
      <c r="A13" s="20"/>
      <c r="B13" s="20" t="s">
        <v>25</v>
      </c>
      <c r="C13" s="31" t="s">
        <v>103</v>
      </c>
      <c r="D13" s="32">
        <v>5</v>
      </c>
      <c r="E13" s="32">
        <f t="shared" si="0"/>
        <v>64</v>
      </c>
      <c r="F13" s="32">
        <f>F10</f>
        <v>64</v>
      </c>
      <c r="G13" s="32">
        <v>5</v>
      </c>
      <c r="H13" s="32">
        <v>1</v>
      </c>
      <c r="I13" s="33">
        <v>1</v>
      </c>
      <c r="J13" s="33">
        <f>$I13*($D13-1)*$G13/$H$10</f>
        <v>4</v>
      </c>
      <c r="K13" s="33">
        <f t="shared" si="2"/>
        <v>0</v>
      </c>
      <c r="L13" s="9">
        <f t="shared" si="3"/>
        <v>20</v>
      </c>
      <c r="M13" s="9">
        <f t="shared" si="4"/>
        <v>0</v>
      </c>
      <c r="N13" s="9">
        <f t="shared" si="5"/>
        <v>0</v>
      </c>
      <c r="O13" s="9">
        <f t="shared" si="6"/>
        <v>1500020</v>
      </c>
      <c r="P13" s="32">
        <f t="shared" si="7"/>
        <v>1500000</v>
      </c>
      <c r="Q13" s="32">
        <f>D13*E13*F13</f>
        <v>20480</v>
      </c>
      <c r="R13" s="32">
        <f>P13*D13*E13*F13</f>
        <v>30720000000</v>
      </c>
      <c r="S13" s="32">
        <f t="shared" si="1"/>
        <v>10.24</v>
      </c>
      <c r="T13" s="20"/>
      <c r="U13" s="20"/>
      <c r="V13" s="20"/>
      <c r="W13" s="20"/>
      <c r="X13" s="20"/>
      <c r="Y13" s="20"/>
      <c r="Z13" s="20"/>
    </row>
    <row r="14" spans="1:26" ht="15.75" customHeight="1" x14ac:dyDescent="0.2">
      <c r="A14" s="20"/>
      <c r="B14" s="20" t="s">
        <v>26</v>
      </c>
      <c r="C14" s="31" t="s">
        <v>103</v>
      </c>
      <c r="D14" s="32">
        <v>1</v>
      </c>
      <c r="E14" s="32">
        <f t="shared" si="0"/>
        <v>64</v>
      </c>
      <c r="F14" s="32">
        <f>F10</f>
        <v>64</v>
      </c>
      <c r="G14" s="32">
        <v>1</v>
      </c>
      <c r="H14" s="32">
        <v>1</v>
      </c>
      <c r="I14" s="33">
        <v>1</v>
      </c>
      <c r="J14" s="33">
        <f>$I14*($D14-1)*$G14/$H$10</f>
        <v>0</v>
      </c>
      <c r="K14" s="33">
        <f t="shared" si="2"/>
        <v>0</v>
      </c>
      <c r="L14" s="9">
        <f t="shared" si="3"/>
        <v>0</v>
      </c>
      <c r="M14" s="9">
        <f t="shared" si="4"/>
        <v>0</v>
      </c>
      <c r="N14" s="9">
        <f t="shared" si="5"/>
        <v>0</v>
      </c>
      <c r="O14" s="9">
        <f t="shared" si="6"/>
        <v>1500000</v>
      </c>
      <c r="P14" s="32">
        <f t="shared" si="7"/>
        <v>1500000</v>
      </c>
      <c r="Q14" s="32">
        <f>D14*E14*F14</f>
        <v>4096</v>
      </c>
      <c r="R14" s="32">
        <f>P14*D14*E14*F14</f>
        <v>6144000000</v>
      </c>
      <c r="S14" s="32">
        <f t="shared" si="1"/>
        <v>2.048</v>
      </c>
      <c r="T14" s="20"/>
      <c r="U14" s="20"/>
      <c r="V14" s="20"/>
      <c r="W14" s="20"/>
      <c r="X14" s="20"/>
      <c r="Y14" s="20"/>
      <c r="Z14" s="20"/>
    </row>
    <row r="15" spans="1:26" ht="15.75" customHeight="1" x14ac:dyDescent="0.2">
      <c r="A15" s="20"/>
      <c r="B15" s="20" t="s">
        <v>27</v>
      </c>
      <c r="C15" s="31" t="s">
        <v>103</v>
      </c>
      <c r="D15" s="32">
        <v>5</v>
      </c>
      <c r="E15" s="32">
        <f t="shared" si="0"/>
        <v>64</v>
      </c>
      <c r="F15" s="32">
        <f>F10</f>
        <v>64</v>
      </c>
      <c r="G15" s="32">
        <v>25</v>
      </c>
      <c r="H15" s="32">
        <v>1</v>
      </c>
      <c r="I15" s="33">
        <v>1</v>
      </c>
      <c r="J15" s="33">
        <f>$I15*($D15-1)*$G15/$H$10</f>
        <v>20</v>
      </c>
      <c r="K15" s="33">
        <f t="shared" si="2"/>
        <v>0</v>
      </c>
      <c r="L15" s="9">
        <f t="shared" si="3"/>
        <v>100</v>
      </c>
      <c r="M15" s="9">
        <f t="shared" si="4"/>
        <v>0</v>
      </c>
      <c r="N15" s="9">
        <f t="shared" si="5"/>
        <v>0</v>
      </c>
      <c r="O15" s="9">
        <f t="shared" si="6"/>
        <v>1500100</v>
      </c>
      <c r="P15" s="32">
        <f t="shared" si="7"/>
        <v>1500000</v>
      </c>
      <c r="Q15" s="32">
        <f>D15*E15*F15</f>
        <v>20480</v>
      </c>
      <c r="R15" s="32">
        <f>P15*D15*E15*F15</f>
        <v>30720000000</v>
      </c>
      <c r="S15" s="32">
        <f t="shared" si="1"/>
        <v>10.24</v>
      </c>
      <c r="T15" s="20"/>
      <c r="U15" s="20"/>
      <c r="V15" s="20"/>
      <c r="W15" s="20"/>
      <c r="X15" s="20"/>
      <c r="Y15" s="20"/>
      <c r="Z15" s="20"/>
    </row>
    <row r="16" spans="1:26" ht="15.75" customHeight="1" x14ac:dyDescent="0.2">
      <c r="A16" s="20"/>
      <c r="B16" s="20" t="s">
        <v>28</v>
      </c>
      <c r="C16" s="31" t="s">
        <v>103</v>
      </c>
      <c r="D16" s="32">
        <v>3</v>
      </c>
      <c r="E16" s="32">
        <f t="shared" si="0"/>
        <v>64</v>
      </c>
      <c r="F16" s="32">
        <f>F10</f>
        <v>64</v>
      </c>
      <c r="G16" s="32">
        <v>1</v>
      </c>
      <c r="H16" s="32">
        <v>1</v>
      </c>
      <c r="I16" s="33">
        <v>1</v>
      </c>
      <c r="J16" s="33">
        <f>$I16*($D16-1)*$G16/$H$10</f>
        <v>0.4</v>
      </c>
      <c r="K16" s="33">
        <f t="shared" si="2"/>
        <v>0</v>
      </c>
      <c r="L16" s="9">
        <f t="shared" si="3"/>
        <v>2</v>
      </c>
      <c r="M16" s="9">
        <f t="shared" si="4"/>
        <v>0</v>
      </c>
      <c r="N16" s="9">
        <f t="shared" si="5"/>
        <v>0</v>
      </c>
      <c r="O16" s="9">
        <f t="shared" si="6"/>
        <v>1500002</v>
      </c>
      <c r="P16" s="32">
        <f t="shared" si="7"/>
        <v>1500000</v>
      </c>
      <c r="Q16" s="32">
        <f>D16*E16*F16</f>
        <v>12288</v>
      </c>
      <c r="R16" s="32">
        <f>P16*D16*E16*F16</f>
        <v>18432000000</v>
      </c>
      <c r="S16" s="32">
        <f t="shared" si="1"/>
        <v>6.1440000000000001</v>
      </c>
      <c r="T16" s="20"/>
      <c r="U16" s="20"/>
      <c r="V16" s="20"/>
      <c r="W16" s="20"/>
      <c r="X16" s="20"/>
      <c r="Y16" s="20"/>
      <c r="Z16" s="20"/>
    </row>
    <row r="17" spans="1:26" ht="15.75" customHeight="1" x14ac:dyDescent="0.2">
      <c r="A17" s="20"/>
      <c r="B17" s="34" t="s">
        <v>104</v>
      </c>
      <c r="C17" s="35" t="s">
        <v>105</v>
      </c>
      <c r="D17" s="36">
        <f>H17</f>
        <v>4</v>
      </c>
      <c r="E17" s="36">
        <f t="shared" si="0"/>
        <v>64</v>
      </c>
      <c r="F17" s="36">
        <v>32</v>
      </c>
      <c r="G17" s="36">
        <v>1</v>
      </c>
      <c r="H17" s="36">
        <v>4</v>
      </c>
      <c r="I17" s="36">
        <v>1</v>
      </c>
      <c r="J17" s="37">
        <f>($D17-$H17)*(1-$I17)</f>
        <v>0</v>
      </c>
      <c r="K17" s="37">
        <f>($D17-$H17)*$I17</f>
        <v>0</v>
      </c>
      <c r="L17" s="37">
        <f>($D17-$H17)*$I17</f>
        <v>0</v>
      </c>
      <c r="M17" s="37">
        <f>($D17-$H17)*(1-$I17)</f>
        <v>0</v>
      </c>
      <c r="N17" s="37">
        <v>0</v>
      </c>
      <c r="O17" s="37">
        <f>P16</f>
        <v>1500000</v>
      </c>
      <c r="P17" s="36">
        <f>(P16-1)*H17+G17*(D17-1)+1</f>
        <v>6000000</v>
      </c>
      <c r="Q17" s="36">
        <f>D17*E17*F17</f>
        <v>8192</v>
      </c>
      <c r="R17" s="36">
        <f>P16*D17*E17*F17</f>
        <v>12288000000</v>
      </c>
      <c r="S17" s="36">
        <f>R17/$C$5/10^6</f>
        <v>4.0960000000000001</v>
      </c>
      <c r="T17" s="20"/>
      <c r="U17" s="20"/>
      <c r="V17" s="20"/>
      <c r="W17" s="20"/>
      <c r="X17" s="20"/>
      <c r="Y17" s="20"/>
      <c r="Z17" s="20"/>
    </row>
    <row r="18" spans="1:26" ht="15.75" customHeight="1" x14ac:dyDescent="0.2">
      <c r="A18" s="20"/>
      <c r="B18" s="34" t="s">
        <v>31</v>
      </c>
      <c r="C18" s="35" t="s">
        <v>106</v>
      </c>
      <c r="D18" s="36">
        <v>5</v>
      </c>
      <c r="E18" s="36">
        <f t="shared" si="0"/>
        <v>32</v>
      </c>
      <c r="F18" s="36">
        <f>F17</f>
        <v>32</v>
      </c>
      <c r="G18" s="36">
        <v>4</v>
      </c>
      <c r="H18" s="36">
        <v>1</v>
      </c>
      <c r="I18" s="37">
        <v>1</v>
      </c>
      <c r="J18" s="37">
        <f>$I18*($D18-1)*$G18/$H$17/$H$10</f>
        <v>0.8</v>
      </c>
      <c r="K18" s="37">
        <f>(1-$I18)*($D18-1)*$G18/$H$17/$H$10</f>
        <v>0</v>
      </c>
      <c r="L18" s="37">
        <f>(($D18-1)*$G18+1-$H18)*$I18</f>
        <v>16</v>
      </c>
      <c r="M18" s="37">
        <f>(($D18-1)*$G18+1-$H18)*(1-$I18)</f>
        <v>0</v>
      </c>
      <c r="N18" s="13">
        <f>CEILING((P17-H18)/H18+1, 1)*H18-P17</f>
        <v>0</v>
      </c>
      <c r="O18" s="13">
        <f>P17+L18+M18+N18</f>
        <v>6000016</v>
      </c>
      <c r="P18" s="36">
        <f>O18-G18*(D18-1)</f>
        <v>6000000</v>
      </c>
      <c r="Q18" s="36">
        <f>D18*E18*F18</f>
        <v>5120</v>
      </c>
      <c r="R18" s="36">
        <f>P18*D18*E18*F18</f>
        <v>30720000000</v>
      </c>
      <c r="S18" s="36">
        <f t="shared" ref="S18:S23" si="8">R18/$C$5/10^6</f>
        <v>10.24</v>
      </c>
      <c r="T18" s="20"/>
      <c r="U18" s="20"/>
      <c r="V18" s="20"/>
      <c r="W18" s="20"/>
      <c r="X18" s="20"/>
      <c r="Y18" s="20"/>
      <c r="Z18" s="20"/>
    </row>
    <row r="19" spans="1:26" ht="15.75" customHeight="1" x14ac:dyDescent="0.2">
      <c r="A19" s="20"/>
      <c r="B19" s="34" t="s">
        <v>33</v>
      </c>
      <c r="C19" s="35" t="s">
        <v>106</v>
      </c>
      <c r="D19" s="36">
        <v>1</v>
      </c>
      <c r="E19" s="36">
        <f t="shared" si="0"/>
        <v>32</v>
      </c>
      <c r="F19" s="36">
        <f>F17</f>
        <v>32</v>
      </c>
      <c r="G19" s="36">
        <v>1</v>
      </c>
      <c r="H19" s="36">
        <v>1</v>
      </c>
      <c r="I19" s="37">
        <v>1</v>
      </c>
      <c r="J19" s="37">
        <f t="shared" ref="J19:J23" si="9">$I19*($D19-1)*$G19/$H$17/$H$10</f>
        <v>0</v>
      </c>
      <c r="K19" s="37">
        <f t="shared" ref="K19:K23" si="10">(1-$I19)*($D19-1)*$G19/$H$17/$H$10</f>
        <v>0</v>
      </c>
      <c r="L19" s="37">
        <f t="shared" ref="L19:L23" si="11">(($D19-1)*$G19+1-$H19)*$I19</f>
        <v>0</v>
      </c>
      <c r="M19" s="37">
        <f t="shared" ref="M19:M23" si="12">(($D19-1)*$G19+1-$H19)*(1-$I19)</f>
        <v>0</v>
      </c>
      <c r="N19" s="13">
        <f t="shared" ref="N19:N23" si="13">CEILING((P18-H19)/H19+1, 1)*H19-P18</f>
        <v>0</v>
      </c>
      <c r="O19" s="13">
        <f t="shared" ref="O19:O23" si="14">P18+L19+M19+N19</f>
        <v>6000000</v>
      </c>
      <c r="P19" s="36">
        <f t="shared" ref="P19:P23" si="15">O19-G19*(D19-1)</f>
        <v>6000000</v>
      </c>
      <c r="Q19" s="36">
        <f>D19*E19*F19</f>
        <v>1024</v>
      </c>
      <c r="R19" s="36">
        <f>P19*D19*E19*F19</f>
        <v>6144000000</v>
      </c>
      <c r="S19" s="36">
        <f t="shared" si="8"/>
        <v>2.048</v>
      </c>
      <c r="T19" s="20"/>
      <c r="U19" s="20"/>
      <c r="V19" s="20"/>
      <c r="W19" s="20"/>
      <c r="X19" s="20"/>
      <c r="Y19" s="20"/>
      <c r="Z19" s="20"/>
    </row>
    <row r="20" spans="1:26" ht="15.75" customHeight="1" x14ac:dyDescent="0.2">
      <c r="A20" s="20"/>
      <c r="B20" s="34" t="s">
        <v>34</v>
      </c>
      <c r="C20" s="35" t="s">
        <v>106</v>
      </c>
      <c r="D20" s="36">
        <v>5</v>
      </c>
      <c r="E20" s="36">
        <f t="shared" si="0"/>
        <v>32</v>
      </c>
      <c r="F20" s="36">
        <f>F17</f>
        <v>32</v>
      </c>
      <c r="G20" s="36">
        <v>5</v>
      </c>
      <c r="H20" s="36">
        <v>1</v>
      </c>
      <c r="I20" s="37">
        <v>1</v>
      </c>
      <c r="J20" s="37">
        <f t="shared" si="9"/>
        <v>1</v>
      </c>
      <c r="K20" s="37">
        <f t="shared" si="10"/>
        <v>0</v>
      </c>
      <c r="L20" s="37">
        <f t="shared" si="11"/>
        <v>20</v>
      </c>
      <c r="M20" s="37">
        <f t="shared" si="12"/>
        <v>0</v>
      </c>
      <c r="N20" s="13">
        <f t="shared" si="13"/>
        <v>0</v>
      </c>
      <c r="O20" s="13">
        <f t="shared" si="14"/>
        <v>6000020</v>
      </c>
      <c r="P20" s="36">
        <f t="shared" si="15"/>
        <v>6000000</v>
      </c>
      <c r="Q20" s="36">
        <f>D20*E20*F20</f>
        <v>5120</v>
      </c>
      <c r="R20" s="36">
        <f>P20*D20*E20*F20</f>
        <v>30720000000</v>
      </c>
      <c r="S20" s="36">
        <f t="shared" si="8"/>
        <v>10.24</v>
      </c>
      <c r="T20" s="20"/>
      <c r="U20" s="20"/>
      <c r="V20" s="20"/>
      <c r="W20" s="20"/>
      <c r="X20" s="20"/>
      <c r="Y20" s="20"/>
      <c r="Z20" s="20"/>
    </row>
    <row r="21" spans="1:26" ht="15.75" customHeight="1" x14ac:dyDescent="0.2">
      <c r="A21" s="20"/>
      <c r="B21" s="34" t="s">
        <v>35</v>
      </c>
      <c r="C21" s="35" t="s">
        <v>106</v>
      </c>
      <c r="D21" s="36">
        <v>1</v>
      </c>
      <c r="E21" s="36">
        <f t="shared" si="0"/>
        <v>32</v>
      </c>
      <c r="F21" s="36">
        <f>F17</f>
        <v>32</v>
      </c>
      <c r="G21" s="36">
        <v>1</v>
      </c>
      <c r="H21" s="36">
        <v>1</v>
      </c>
      <c r="I21" s="37">
        <v>1</v>
      </c>
      <c r="J21" s="37">
        <f t="shared" si="9"/>
        <v>0</v>
      </c>
      <c r="K21" s="37">
        <f t="shared" si="10"/>
        <v>0</v>
      </c>
      <c r="L21" s="37">
        <f t="shared" si="11"/>
        <v>0</v>
      </c>
      <c r="M21" s="37">
        <f t="shared" si="12"/>
        <v>0</v>
      </c>
      <c r="N21" s="13">
        <f t="shared" si="13"/>
        <v>0</v>
      </c>
      <c r="O21" s="13">
        <f t="shared" si="14"/>
        <v>6000000</v>
      </c>
      <c r="P21" s="36">
        <f t="shared" si="15"/>
        <v>6000000</v>
      </c>
      <c r="Q21" s="36">
        <f>D21*E21*F21</f>
        <v>1024</v>
      </c>
      <c r="R21" s="36">
        <f>P21*D21*E21*F21</f>
        <v>6144000000</v>
      </c>
      <c r="S21" s="36">
        <f t="shared" si="8"/>
        <v>2.048</v>
      </c>
      <c r="T21" s="20"/>
      <c r="U21" s="20"/>
      <c r="V21" s="20"/>
      <c r="W21" s="20"/>
      <c r="X21" s="20"/>
      <c r="Y21" s="20"/>
      <c r="Z21" s="20"/>
    </row>
    <row r="22" spans="1:26" ht="15.75" customHeight="1" x14ac:dyDescent="0.2">
      <c r="A22" s="20"/>
      <c r="B22" s="34" t="s">
        <v>36</v>
      </c>
      <c r="C22" s="35" t="s">
        <v>106</v>
      </c>
      <c r="D22" s="36">
        <v>5</v>
      </c>
      <c r="E22" s="36">
        <f t="shared" si="0"/>
        <v>32</v>
      </c>
      <c r="F22" s="36">
        <f>F17</f>
        <v>32</v>
      </c>
      <c r="G22" s="36">
        <v>25</v>
      </c>
      <c r="H22" s="36">
        <v>1</v>
      </c>
      <c r="I22" s="37">
        <v>1</v>
      </c>
      <c r="J22" s="37">
        <f t="shared" si="9"/>
        <v>5</v>
      </c>
      <c r="K22" s="37">
        <f t="shared" si="10"/>
        <v>0</v>
      </c>
      <c r="L22" s="37">
        <f t="shared" si="11"/>
        <v>100</v>
      </c>
      <c r="M22" s="37">
        <f t="shared" si="12"/>
        <v>0</v>
      </c>
      <c r="N22" s="13">
        <f t="shared" si="13"/>
        <v>0</v>
      </c>
      <c r="O22" s="13">
        <f t="shared" si="14"/>
        <v>6000100</v>
      </c>
      <c r="P22" s="36">
        <f t="shared" si="15"/>
        <v>6000000</v>
      </c>
      <c r="Q22" s="36">
        <f>D22*E22*F22</f>
        <v>5120</v>
      </c>
      <c r="R22" s="36">
        <f>P22*D22*E22*F22</f>
        <v>30720000000</v>
      </c>
      <c r="S22" s="36">
        <f t="shared" si="8"/>
        <v>10.24</v>
      </c>
      <c r="T22" s="20"/>
      <c r="U22" s="20"/>
      <c r="V22" s="20"/>
      <c r="W22" s="20"/>
      <c r="X22" s="20"/>
      <c r="Y22" s="20"/>
      <c r="Z22" s="20"/>
    </row>
    <row r="23" spans="1:26" ht="15.75" customHeight="1" x14ac:dyDescent="0.2">
      <c r="A23" s="20"/>
      <c r="B23" s="34" t="s">
        <v>37</v>
      </c>
      <c r="C23" s="35" t="s">
        <v>106</v>
      </c>
      <c r="D23" s="36">
        <v>1</v>
      </c>
      <c r="E23" s="36">
        <f t="shared" si="0"/>
        <v>32</v>
      </c>
      <c r="F23" s="36">
        <f>F17</f>
        <v>32</v>
      </c>
      <c r="G23" s="36">
        <v>1</v>
      </c>
      <c r="H23" s="36">
        <v>1</v>
      </c>
      <c r="I23" s="37">
        <v>1</v>
      </c>
      <c r="J23" s="37">
        <f t="shared" si="9"/>
        <v>0</v>
      </c>
      <c r="K23" s="37">
        <f t="shared" si="10"/>
        <v>0</v>
      </c>
      <c r="L23" s="37">
        <f t="shared" si="11"/>
        <v>0</v>
      </c>
      <c r="M23" s="37">
        <f t="shared" si="12"/>
        <v>0</v>
      </c>
      <c r="N23" s="13">
        <f t="shared" si="13"/>
        <v>0</v>
      </c>
      <c r="O23" s="13">
        <f t="shared" si="14"/>
        <v>6000000</v>
      </c>
      <c r="P23" s="36">
        <f t="shared" si="15"/>
        <v>6000000</v>
      </c>
      <c r="Q23" s="36">
        <f>D23*E23*F23</f>
        <v>1024</v>
      </c>
      <c r="R23" s="36">
        <f>P23*D23*E23*F23</f>
        <v>6144000000</v>
      </c>
      <c r="S23" s="36">
        <f t="shared" si="8"/>
        <v>2.048</v>
      </c>
      <c r="T23" s="20"/>
      <c r="U23" s="20"/>
      <c r="V23" s="20"/>
      <c r="W23" s="20"/>
      <c r="X23" s="20"/>
      <c r="Y23" s="20"/>
      <c r="Z23" s="20"/>
    </row>
    <row r="24" spans="1:26" ht="15.75" customHeight="1" x14ac:dyDescent="0.2">
      <c r="A24" s="20"/>
      <c r="B24" s="20" t="s">
        <v>107</v>
      </c>
      <c r="C24" s="31" t="s">
        <v>108</v>
      </c>
      <c r="D24" s="32">
        <f>H24</f>
        <v>3</v>
      </c>
      <c r="E24" s="32">
        <f t="shared" si="0"/>
        <v>32</v>
      </c>
      <c r="F24" s="32">
        <v>16</v>
      </c>
      <c r="G24" s="32">
        <v>1</v>
      </c>
      <c r="H24" s="32">
        <v>3</v>
      </c>
      <c r="I24" s="32">
        <v>1</v>
      </c>
      <c r="J24" s="33">
        <f>($D24-$H24)*(1-$I24)</f>
        <v>0</v>
      </c>
      <c r="K24" s="33">
        <f>($D24-$H24)*(1-$I24)</f>
        <v>0</v>
      </c>
      <c r="L24" s="33">
        <f>($D24-$H24)*$I24</f>
        <v>0</v>
      </c>
      <c r="M24" s="33">
        <f>($D24-$H24)*(1-$I24)</f>
        <v>0</v>
      </c>
      <c r="N24" s="33">
        <v>0</v>
      </c>
      <c r="O24" s="9">
        <f>P23+L24+M24+N24</f>
        <v>6000000</v>
      </c>
      <c r="P24" s="32">
        <f>(P23-1)*H24+G24*(D24-1)+1</f>
        <v>18000000</v>
      </c>
      <c r="Q24" s="32">
        <f>D24*E24*F24</f>
        <v>1536</v>
      </c>
      <c r="R24" s="32">
        <f>P23*D24*E24*F24</f>
        <v>9216000000</v>
      </c>
      <c r="S24" s="32">
        <f>R24/$C$5/10^6</f>
        <v>3.0720000000000001</v>
      </c>
      <c r="T24" s="20"/>
      <c r="U24" s="20"/>
      <c r="V24" s="20"/>
      <c r="W24" s="20"/>
      <c r="X24" s="20"/>
      <c r="Y24" s="20"/>
      <c r="Z24" s="20"/>
    </row>
    <row r="25" spans="1:26" ht="15.75" customHeight="1" x14ac:dyDescent="0.2">
      <c r="A25" s="20"/>
      <c r="B25" s="20" t="s">
        <v>40</v>
      </c>
      <c r="C25" s="31" t="s">
        <v>109</v>
      </c>
      <c r="D25" s="32">
        <v>5</v>
      </c>
      <c r="E25" s="32">
        <f t="shared" si="0"/>
        <v>16</v>
      </c>
      <c r="F25" s="32">
        <f>F24</f>
        <v>16</v>
      </c>
      <c r="G25" s="32">
        <v>3</v>
      </c>
      <c r="H25" s="32">
        <v>1</v>
      </c>
      <c r="I25" s="33">
        <v>1</v>
      </c>
      <c r="J25" s="33">
        <f>$I25*($D25-1)*$G25/$H$24/$H$17/$H$10</f>
        <v>0.2</v>
      </c>
      <c r="K25" s="33">
        <f>(1-$I25)*($D25-1)*$G25/$H$24/$H$17/$H$10</f>
        <v>0</v>
      </c>
      <c r="L25" s="9">
        <f>(($D25-1)*$G25+1-$H25)*$I25</f>
        <v>12</v>
      </c>
      <c r="M25" s="9">
        <f>(($D25-1)*$G25+1-$H25)*(1-$I25)</f>
        <v>0</v>
      </c>
      <c r="N25" s="9">
        <f>CEILING((P24-H25)/H25+1, 1)*H25-P24</f>
        <v>0</v>
      </c>
      <c r="O25" s="9">
        <f>P24+L25+M25+N25</f>
        <v>18000012</v>
      </c>
      <c r="P25" s="32">
        <f>O25-G25*(D25-1)</f>
        <v>18000000</v>
      </c>
      <c r="Q25" s="32">
        <f>D25*E25*F25</f>
        <v>1280</v>
      </c>
      <c r="R25" s="32">
        <f>P25*D25*E25*F25</f>
        <v>23040000000</v>
      </c>
      <c r="S25" s="32">
        <f t="shared" ref="S25:S30" si="16">R25/$C$5/10^6</f>
        <v>7.68</v>
      </c>
      <c r="T25" s="20"/>
      <c r="U25" s="20"/>
      <c r="V25" s="20"/>
      <c r="W25" s="20"/>
      <c r="X25" s="20"/>
      <c r="Y25" s="20"/>
      <c r="Z25" s="20"/>
    </row>
    <row r="26" spans="1:26" ht="15.75" customHeight="1" x14ac:dyDescent="0.2">
      <c r="A26" s="20"/>
      <c r="B26" s="20" t="s">
        <v>42</v>
      </c>
      <c r="C26" s="31" t="s">
        <v>109</v>
      </c>
      <c r="D26" s="32">
        <v>1</v>
      </c>
      <c r="E26" s="32">
        <f t="shared" si="0"/>
        <v>16</v>
      </c>
      <c r="F26" s="32">
        <f>F24</f>
        <v>16</v>
      </c>
      <c r="G26" s="32">
        <v>1</v>
      </c>
      <c r="H26" s="32">
        <v>1</v>
      </c>
      <c r="I26" s="33">
        <v>1</v>
      </c>
      <c r="J26" s="33">
        <f t="shared" ref="J26:J30" si="17">$I26*($D26-1)*$G26/$H$24/$H$17/$H$10</f>
        <v>0</v>
      </c>
      <c r="K26" s="33">
        <f t="shared" ref="K26:K30" si="18">(1-$I26)*($D26-1)*$G26/$H$24/$H$17/$H$10</f>
        <v>0</v>
      </c>
      <c r="L26" s="9">
        <f t="shared" ref="L26:L30" si="19">(($D26-1)*$G26+1-$H26)*$I26</f>
        <v>0</v>
      </c>
      <c r="M26" s="9">
        <f t="shared" ref="M26:M30" si="20">(($D26-1)*$G26+1-$H26)*(1-$I26)</f>
        <v>0</v>
      </c>
      <c r="N26" s="9">
        <f t="shared" ref="N26:N30" si="21">CEILING((P25-H26)/H26+1, 1)*H26-P25</f>
        <v>0</v>
      </c>
      <c r="O26" s="9">
        <f t="shared" ref="O26:O30" si="22">P25+L26+M26+N26</f>
        <v>18000000</v>
      </c>
      <c r="P26" s="32">
        <f t="shared" ref="P26:P30" si="23">O26-G26*(D26-1)</f>
        <v>18000000</v>
      </c>
      <c r="Q26" s="32">
        <f>D26*E26*F26</f>
        <v>256</v>
      </c>
      <c r="R26" s="32">
        <f>P26*D26*E26*F26</f>
        <v>4608000000</v>
      </c>
      <c r="S26" s="32">
        <f t="shared" si="16"/>
        <v>1.536</v>
      </c>
      <c r="T26" s="20"/>
      <c r="U26" s="20"/>
      <c r="V26" s="20"/>
      <c r="W26" s="20"/>
      <c r="X26" s="20"/>
      <c r="Y26" s="20"/>
      <c r="Z26" s="20"/>
    </row>
    <row r="27" spans="1:26" ht="15.75" customHeight="1" x14ac:dyDescent="0.2">
      <c r="A27" s="20"/>
      <c r="B27" s="20" t="s">
        <v>43</v>
      </c>
      <c r="C27" s="31" t="s">
        <v>109</v>
      </c>
      <c r="D27" s="32">
        <v>5</v>
      </c>
      <c r="E27" s="32">
        <f t="shared" si="0"/>
        <v>16</v>
      </c>
      <c r="F27" s="32">
        <f>F24</f>
        <v>16</v>
      </c>
      <c r="G27" s="32">
        <v>5</v>
      </c>
      <c r="H27" s="32">
        <v>1</v>
      </c>
      <c r="I27" s="33">
        <v>1</v>
      </c>
      <c r="J27" s="33">
        <f t="shared" si="17"/>
        <v>0.33333333333333337</v>
      </c>
      <c r="K27" s="33">
        <f t="shared" si="18"/>
        <v>0</v>
      </c>
      <c r="L27" s="9">
        <f t="shared" si="19"/>
        <v>20</v>
      </c>
      <c r="M27" s="9">
        <f t="shared" si="20"/>
        <v>0</v>
      </c>
      <c r="N27" s="9">
        <f t="shared" si="21"/>
        <v>0</v>
      </c>
      <c r="O27" s="9">
        <f t="shared" si="22"/>
        <v>18000020</v>
      </c>
      <c r="P27" s="32">
        <f t="shared" si="23"/>
        <v>18000000</v>
      </c>
      <c r="Q27" s="32">
        <f>D27*E27*F27</f>
        <v>1280</v>
      </c>
      <c r="R27" s="32">
        <f>P27*D27*E27*F27</f>
        <v>23040000000</v>
      </c>
      <c r="S27" s="32">
        <f t="shared" si="16"/>
        <v>7.68</v>
      </c>
      <c r="T27" s="20"/>
      <c r="U27" s="20"/>
      <c r="V27" s="20"/>
      <c r="W27" s="20"/>
      <c r="X27" s="20"/>
      <c r="Y27" s="20"/>
      <c r="Z27" s="20"/>
    </row>
    <row r="28" spans="1:26" ht="15.75" customHeight="1" x14ac:dyDescent="0.2">
      <c r="A28" s="20"/>
      <c r="B28" s="20" t="s">
        <v>44</v>
      </c>
      <c r="C28" s="31" t="s">
        <v>109</v>
      </c>
      <c r="D28" s="32">
        <v>1</v>
      </c>
      <c r="E28" s="32">
        <f t="shared" si="0"/>
        <v>16</v>
      </c>
      <c r="F28" s="32">
        <f>F24</f>
        <v>16</v>
      </c>
      <c r="G28" s="32">
        <v>1</v>
      </c>
      <c r="H28" s="32">
        <v>1</v>
      </c>
      <c r="I28" s="33">
        <v>1</v>
      </c>
      <c r="J28" s="33">
        <f t="shared" si="17"/>
        <v>0</v>
      </c>
      <c r="K28" s="33">
        <f t="shared" si="18"/>
        <v>0</v>
      </c>
      <c r="L28" s="9">
        <f t="shared" si="19"/>
        <v>0</v>
      </c>
      <c r="M28" s="9">
        <f t="shared" si="20"/>
        <v>0</v>
      </c>
      <c r="N28" s="9">
        <f t="shared" si="21"/>
        <v>0</v>
      </c>
      <c r="O28" s="9">
        <f t="shared" si="22"/>
        <v>18000000</v>
      </c>
      <c r="P28" s="32">
        <f t="shared" si="23"/>
        <v>18000000</v>
      </c>
      <c r="Q28" s="32">
        <f>D28*E28*F28</f>
        <v>256</v>
      </c>
      <c r="R28" s="32">
        <f>P28*D28*E28*F28</f>
        <v>4608000000</v>
      </c>
      <c r="S28" s="32">
        <f t="shared" si="16"/>
        <v>1.536</v>
      </c>
      <c r="T28" s="20"/>
      <c r="U28" s="20"/>
      <c r="V28" s="20"/>
      <c r="W28" s="20"/>
      <c r="X28" s="20"/>
      <c r="Y28" s="20"/>
      <c r="Z28" s="20"/>
    </row>
    <row r="29" spans="1:26" ht="15.75" customHeight="1" x14ac:dyDescent="0.2">
      <c r="A29" s="20"/>
      <c r="B29" s="20" t="s">
        <v>45</v>
      </c>
      <c r="C29" s="31" t="s">
        <v>109</v>
      </c>
      <c r="D29" s="32">
        <v>5</v>
      </c>
      <c r="E29" s="32">
        <f t="shared" si="0"/>
        <v>16</v>
      </c>
      <c r="F29" s="32">
        <f>F24</f>
        <v>16</v>
      </c>
      <c r="G29" s="32">
        <v>25</v>
      </c>
      <c r="H29" s="32">
        <v>1</v>
      </c>
      <c r="I29" s="33">
        <v>1</v>
      </c>
      <c r="J29" s="33">
        <f t="shared" si="17"/>
        <v>1.6666666666666667</v>
      </c>
      <c r="K29" s="33">
        <f t="shared" si="18"/>
        <v>0</v>
      </c>
      <c r="L29" s="9">
        <f t="shared" si="19"/>
        <v>100</v>
      </c>
      <c r="M29" s="9">
        <f t="shared" si="20"/>
        <v>0</v>
      </c>
      <c r="N29" s="9">
        <f t="shared" si="21"/>
        <v>0</v>
      </c>
      <c r="O29" s="9">
        <f t="shared" si="22"/>
        <v>18000100</v>
      </c>
      <c r="P29" s="32">
        <f t="shared" si="23"/>
        <v>18000000</v>
      </c>
      <c r="Q29" s="32">
        <f>D29*E29*F29</f>
        <v>1280</v>
      </c>
      <c r="R29" s="32">
        <f>P29*D29*E29*F29</f>
        <v>23040000000</v>
      </c>
      <c r="S29" s="32">
        <f t="shared" si="16"/>
        <v>7.68</v>
      </c>
      <c r="T29" s="20"/>
      <c r="U29" s="20"/>
      <c r="V29" s="20"/>
      <c r="W29" s="20"/>
      <c r="X29" s="20"/>
      <c r="Y29" s="20"/>
      <c r="Z29" s="20"/>
    </row>
    <row r="30" spans="1:26" ht="15.75" customHeight="1" x14ac:dyDescent="0.2">
      <c r="A30" s="20"/>
      <c r="B30" s="20" t="s">
        <v>46</v>
      </c>
      <c r="C30" s="31" t="s">
        <v>109</v>
      </c>
      <c r="D30" s="32">
        <v>1</v>
      </c>
      <c r="E30" s="32">
        <f t="shared" si="0"/>
        <v>16</v>
      </c>
      <c r="F30" s="32">
        <f>F24</f>
        <v>16</v>
      </c>
      <c r="G30" s="32">
        <v>1</v>
      </c>
      <c r="H30" s="32">
        <v>1</v>
      </c>
      <c r="I30" s="33">
        <v>1</v>
      </c>
      <c r="J30" s="33">
        <f>$I30*($D30-1)*$G30/$H$24/$H$17/$H$10</f>
        <v>0</v>
      </c>
      <c r="K30" s="33">
        <f t="shared" si="18"/>
        <v>0</v>
      </c>
      <c r="L30" s="9">
        <f t="shared" si="19"/>
        <v>0</v>
      </c>
      <c r="M30" s="9">
        <f t="shared" si="20"/>
        <v>0</v>
      </c>
      <c r="N30" s="9">
        <f t="shared" si="21"/>
        <v>0</v>
      </c>
      <c r="O30" s="9">
        <f t="shared" si="22"/>
        <v>18000000</v>
      </c>
      <c r="P30" s="32">
        <f t="shared" si="23"/>
        <v>18000000</v>
      </c>
      <c r="Q30" s="32">
        <f>D30*E30*F30</f>
        <v>256</v>
      </c>
      <c r="R30" s="32">
        <f>P30*D30*E30*F30</f>
        <v>4608000000</v>
      </c>
      <c r="S30" s="32">
        <f t="shared" si="16"/>
        <v>1.536</v>
      </c>
      <c r="T30" s="20"/>
      <c r="U30" s="20"/>
      <c r="V30" s="20"/>
      <c r="W30" s="20"/>
      <c r="X30" s="20"/>
      <c r="Y30" s="20"/>
      <c r="Z30" s="20"/>
    </row>
    <row r="31" spans="1:26" ht="15.75" customHeight="1" x14ac:dyDescent="0.2">
      <c r="A31" s="20"/>
      <c r="B31" s="34" t="s">
        <v>110</v>
      </c>
      <c r="C31" s="35" t="s">
        <v>111</v>
      </c>
      <c r="D31" s="36">
        <f>H31</f>
        <v>4</v>
      </c>
      <c r="E31" s="36">
        <f t="shared" si="0"/>
        <v>16</v>
      </c>
      <c r="F31" s="36">
        <v>8</v>
      </c>
      <c r="G31" s="36">
        <v>1</v>
      </c>
      <c r="H31" s="36">
        <v>4</v>
      </c>
      <c r="I31" s="36">
        <v>1</v>
      </c>
      <c r="J31" s="37">
        <f>($D31-$H31)*(1-$I31)</f>
        <v>0</v>
      </c>
      <c r="K31" s="37">
        <f>($D31-$H31)*$I31</f>
        <v>0</v>
      </c>
      <c r="L31" s="37">
        <f>($D31-$H31)*$I31</f>
        <v>0</v>
      </c>
      <c r="M31" s="37">
        <f>($D31-$H31)*(1-$I31)</f>
        <v>0</v>
      </c>
      <c r="N31" s="37">
        <v>0</v>
      </c>
      <c r="O31" s="37">
        <f>P30</f>
        <v>18000000</v>
      </c>
      <c r="P31" s="36">
        <f>(P30-1)*H31+G31*(D31-1)+1</f>
        <v>72000000</v>
      </c>
      <c r="Q31" s="36">
        <f>D31*E31*F31</f>
        <v>512</v>
      </c>
      <c r="R31" s="36">
        <f>P30*D31*E31*F31</f>
        <v>9216000000</v>
      </c>
      <c r="S31" s="36">
        <f>R31/$C$5/10^6</f>
        <v>3.0720000000000001</v>
      </c>
      <c r="T31" s="20"/>
      <c r="U31" s="20"/>
      <c r="V31" s="20"/>
      <c r="W31" s="20"/>
      <c r="X31" s="20"/>
      <c r="Y31" s="20"/>
      <c r="Z31" s="20"/>
    </row>
    <row r="32" spans="1:26" ht="15.75" customHeight="1" x14ac:dyDescent="0.2">
      <c r="A32" s="20"/>
      <c r="B32" s="34" t="s">
        <v>49</v>
      </c>
      <c r="C32" s="35" t="s">
        <v>112</v>
      </c>
      <c r="D32" s="36">
        <v>5</v>
      </c>
      <c r="E32" s="36">
        <f t="shared" si="0"/>
        <v>8</v>
      </c>
      <c r="F32" s="36">
        <f>F31</f>
        <v>8</v>
      </c>
      <c r="G32" s="36">
        <v>4</v>
      </c>
      <c r="H32" s="36">
        <v>1</v>
      </c>
      <c r="I32" s="37">
        <v>1</v>
      </c>
      <c r="J32" s="37">
        <f>$I32*($D32-1)*$G32/$H$31/$H$24/$H$17/$H$10</f>
        <v>6.6666666666666666E-2</v>
      </c>
      <c r="K32" s="37">
        <f>(1-$I32)*($D32-1)*$G32/$H$31/$H$24/$H$17/$H$10</f>
        <v>0</v>
      </c>
      <c r="L32" s="37">
        <f>(($D32-1)*$G32+1-$H32)*$I32</f>
        <v>16</v>
      </c>
      <c r="M32" s="37">
        <f>(($D32-1)*$G32+1-$H32)*(1-$I32)</f>
        <v>0</v>
      </c>
      <c r="N32" s="13">
        <f>CEILING((P31-H32)/H32+1, 1)*H32-P31</f>
        <v>0</v>
      </c>
      <c r="O32" s="13">
        <f>P31+L32+M32+N32</f>
        <v>72000016</v>
      </c>
      <c r="P32" s="36">
        <f>O32-G32*(D32-1)</f>
        <v>72000000</v>
      </c>
      <c r="Q32" s="36">
        <f>D32*E32*F32</f>
        <v>320</v>
      </c>
      <c r="R32" s="36">
        <f>P32*D32*E32*F32</f>
        <v>23040000000</v>
      </c>
      <c r="S32" s="36">
        <f t="shared" ref="S32:S37" si="24">R32/$C$5/10^6</f>
        <v>7.68</v>
      </c>
      <c r="T32" s="20"/>
      <c r="U32" s="20"/>
      <c r="V32" s="20"/>
      <c r="W32" s="20"/>
      <c r="X32" s="20"/>
      <c r="Y32" s="20"/>
      <c r="Z32" s="20"/>
    </row>
    <row r="33" spans="1:26" ht="15.75" customHeight="1" x14ac:dyDescent="0.2">
      <c r="A33" s="20"/>
      <c r="B33" s="34" t="s">
        <v>51</v>
      </c>
      <c r="C33" s="35" t="s">
        <v>112</v>
      </c>
      <c r="D33" s="36">
        <v>1</v>
      </c>
      <c r="E33" s="36">
        <f t="shared" si="0"/>
        <v>8</v>
      </c>
      <c r="F33" s="36">
        <f>F31</f>
        <v>8</v>
      </c>
      <c r="G33" s="36">
        <v>1</v>
      </c>
      <c r="H33" s="36">
        <v>1</v>
      </c>
      <c r="I33" s="37">
        <v>1</v>
      </c>
      <c r="J33" s="37">
        <f t="shared" ref="J33:J37" si="25">$I33*($D33-1)*$G33/$H$31/$H$24/$H$17/$H$10</f>
        <v>0</v>
      </c>
      <c r="K33" s="37">
        <f t="shared" ref="K33:K37" si="26">(1-$I33)*($D33-1)*$G33/$H$31/$H$24/$H$17/$H$10</f>
        <v>0</v>
      </c>
      <c r="L33" s="37">
        <f t="shared" ref="L33:L37" si="27">(($D33-1)*$G33+1-$H33)*$I33</f>
        <v>0</v>
      </c>
      <c r="M33" s="37">
        <f t="shared" ref="M33:M37" si="28">(($D33-1)*$G33+1-$H33)*(1-$I33)</f>
        <v>0</v>
      </c>
      <c r="N33" s="13">
        <f t="shared" ref="N33:N38" si="29">CEILING((P32-H33)/H33+1, 1)*H33-P32</f>
        <v>0</v>
      </c>
      <c r="O33" s="13">
        <f t="shared" ref="O33:O38" si="30">P32+L33+M33+N33</f>
        <v>72000000</v>
      </c>
      <c r="P33" s="36">
        <f t="shared" ref="P33:P38" si="31">O33-G33*(D33-1)</f>
        <v>72000000</v>
      </c>
      <c r="Q33" s="36">
        <f t="shared" ref="Q33:Q37" si="32">D33*E33*F33</f>
        <v>64</v>
      </c>
      <c r="R33" s="36">
        <f>P33*D33*E33*F33</f>
        <v>4608000000</v>
      </c>
      <c r="S33" s="36">
        <f t="shared" si="24"/>
        <v>1.536</v>
      </c>
      <c r="T33" s="20"/>
      <c r="U33" s="20"/>
      <c r="V33" s="20"/>
      <c r="W33" s="20"/>
      <c r="X33" s="20"/>
      <c r="Y33" s="20"/>
      <c r="Z33" s="20"/>
    </row>
    <row r="34" spans="1:26" ht="15.75" customHeight="1" x14ac:dyDescent="0.2">
      <c r="A34" s="20"/>
      <c r="B34" s="34" t="s">
        <v>52</v>
      </c>
      <c r="C34" s="35" t="s">
        <v>112</v>
      </c>
      <c r="D34" s="36">
        <v>5</v>
      </c>
      <c r="E34" s="36">
        <f t="shared" si="0"/>
        <v>8</v>
      </c>
      <c r="F34" s="36">
        <f>F31</f>
        <v>8</v>
      </c>
      <c r="G34" s="36">
        <v>5</v>
      </c>
      <c r="H34" s="36">
        <v>1</v>
      </c>
      <c r="I34" s="37">
        <v>1</v>
      </c>
      <c r="J34" s="37">
        <f t="shared" si="25"/>
        <v>8.3333333333333343E-2</v>
      </c>
      <c r="K34" s="37">
        <f t="shared" si="26"/>
        <v>0</v>
      </c>
      <c r="L34" s="37">
        <f t="shared" si="27"/>
        <v>20</v>
      </c>
      <c r="M34" s="37">
        <f t="shared" si="28"/>
        <v>0</v>
      </c>
      <c r="N34" s="13">
        <f t="shared" si="29"/>
        <v>0</v>
      </c>
      <c r="O34" s="13">
        <f t="shared" si="30"/>
        <v>72000020</v>
      </c>
      <c r="P34" s="36">
        <f t="shared" si="31"/>
        <v>72000000</v>
      </c>
      <c r="Q34" s="36">
        <f t="shared" si="32"/>
        <v>320</v>
      </c>
      <c r="R34" s="36">
        <f>P34*D34*E34*F34</f>
        <v>23040000000</v>
      </c>
      <c r="S34" s="36">
        <f t="shared" si="24"/>
        <v>7.68</v>
      </c>
      <c r="T34" s="20"/>
      <c r="U34" s="20"/>
      <c r="V34" s="20"/>
      <c r="W34" s="20"/>
      <c r="X34" s="20"/>
      <c r="Y34" s="20"/>
      <c r="Z34" s="20"/>
    </row>
    <row r="35" spans="1:26" ht="15.75" customHeight="1" x14ac:dyDescent="0.2">
      <c r="A35" s="20"/>
      <c r="B35" s="34" t="s">
        <v>53</v>
      </c>
      <c r="C35" s="35" t="s">
        <v>112</v>
      </c>
      <c r="D35" s="36">
        <v>1</v>
      </c>
      <c r="E35" s="36">
        <f t="shared" si="0"/>
        <v>8</v>
      </c>
      <c r="F35" s="36">
        <f>F31</f>
        <v>8</v>
      </c>
      <c r="G35" s="36">
        <v>1</v>
      </c>
      <c r="H35" s="36">
        <v>1</v>
      </c>
      <c r="I35" s="37">
        <v>1</v>
      </c>
      <c r="J35" s="37">
        <f t="shared" si="25"/>
        <v>0</v>
      </c>
      <c r="K35" s="37">
        <f t="shared" si="26"/>
        <v>0</v>
      </c>
      <c r="L35" s="37">
        <f t="shared" si="27"/>
        <v>0</v>
      </c>
      <c r="M35" s="37">
        <f t="shared" si="28"/>
        <v>0</v>
      </c>
      <c r="N35" s="13">
        <f t="shared" si="29"/>
        <v>0</v>
      </c>
      <c r="O35" s="13">
        <f t="shared" si="30"/>
        <v>72000000</v>
      </c>
      <c r="P35" s="36">
        <f t="shared" si="31"/>
        <v>72000000</v>
      </c>
      <c r="Q35" s="36">
        <f t="shared" si="32"/>
        <v>64</v>
      </c>
      <c r="R35" s="36">
        <f>P35*D35*E35*F35</f>
        <v>4608000000</v>
      </c>
      <c r="S35" s="36">
        <f t="shared" si="24"/>
        <v>1.536</v>
      </c>
      <c r="T35" s="20"/>
      <c r="U35" s="20"/>
      <c r="V35" s="20"/>
      <c r="W35" s="20"/>
      <c r="X35" s="20"/>
      <c r="Y35" s="20"/>
      <c r="Z35" s="20"/>
    </row>
    <row r="36" spans="1:26" ht="15.75" customHeight="1" x14ac:dyDescent="0.2">
      <c r="A36" s="20"/>
      <c r="B36" s="34" t="s">
        <v>54</v>
      </c>
      <c r="C36" s="35" t="s">
        <v>112</v>
      </c>
      <c r="D36" s="36">
        <v>5</v>
      </c>
      <c r="E36" s="36">
        <f t="shared" si="0"/>
        <v>8</v>
      </c>
      <c r="F36" s="36">
        <f>F31</f>
        <v>8</v>
      </c>
      <c r="G36" s="36">
        <v>25</v>
      </c>
      <c r="H36" s="36">
        <v>1</v>
      </c>
      <c r="I36" s="37">
        <v>1</v>
      </c>
      <c r="J36" s="37">
        <f t="shared" si="25"/>
        <v>0.41666666666666669</v>
      </c>
      <c r="K36" s="37">
        <f t="shared" si="26"/>
        <v>0</v>
      </c>
      <c r="L36" s="37">
        <f t="shared" si="27"/>
        <v>100</v>
      </c>
      <c r="M36" s="37">
        <f t="shared" si="28"/>
        <v>0</v>
      </c>
      <c r="N36" s="13">
        <f t="shared" si="29"/>
        <v>0</v>
      </c>
      <c r="O36" s="13">
        <f t="shared" si="30"/>
        <v>72000100</v>
      </c>
      <c r="P36" s="36">
        <f t="shared" si="31"/>
        <v>72000000</v>
      </c>
      <c r="Q36" s="36">
        <f t="shared" si="32"/>
        <v>320</v>
      </c>
      <c r="R36" s="36">
        <f>P36*D36*E36*F36</f>
        <v>23040000000</v>
      </c>
      <c r="S36" s="36">
        <f t="shared" si="24"/>
        <v>7.68</v>
      </c>
      <c r="T36" s="20"/>
      <c r="U36" s="20"/>
      <c r="V36" s="20"/>
      <c r="W36" s="20"/>
      <c r="X36" s="20"/>
      <c r="Y36" s="20"/>
      <c r="Z36" s="20"/>
    </row>
    <row r="37" spans="1:26" ht="15.75" customHeight="1" x14ac:dyDescent="0.2">
      <c r="A37" s="20"/>
      <c r="B37" s="34" t="s">
        <v>55</v>
      </c>
      <c r="C37" s="35" t="s">
        <v>112</v>
      </c>
      <c r="D37" s="36">
        <v>1</v>
      </c>
      <c r="E37" s="36">
        <f t="shared" si="0"/>
        <v>8</v>
      </c>
      <c r="F37" s="36">
        <f>F31</f>
        <v>8</v>
      </c>
      <c r="G37" s="36">
        <v>1</v>
      </c>
      <c r="H37" s="36">
        <v>1</v>
      </c>
      <c r="I37" s="37">
        <v>1</v>
      </c>
      <c r="J37" s="37">
        <f t="shared" si="25"/>
        <v>0</v>
      </c>
      <c r="K37" s="37">
        <f t="shared" si="26"/>
        <v>0</v>
      </c>
      <c r="L37" s="37">
        <f t="shared" si="27"/>
        <v>0</v>
      </c>
      <c r="M37" s="37">
        <f t="shared" si="28"/>
        <v>0</v>
      </c>
      <c r="N37" s="13">
        <f t="shared" si="29"/>
        <v>0</v>
      </c>
      <c r="O37" s="13">
        <f t="shared" si="30"/>
        <v>72000000</v>
      </c>
      <c r="P37" s="36">
        <f t="shared" si="31"/>
        <v>72000000</v>
      </c>
      <c r="Q37" s="36">
        <f t="shared" si="32"/>
        <v>64</v>
      </c>
      <c r="R37" s="36">
        <f>P37*D37*E37*F37</f>
        <v>4608000000</v>
      </c>
      <c r="S37" s="36">
        <f t="shared" si="24"/>
        <v>1.536</v>
      </c>
      <c r="T37" s="20"/>
      <c r="U37" s="20"/>
      <c r="V37" s="20"/>
      <c r="W37" s="20"/>
      <c r="X37" s="20"/>
      <c r="Y37" s="20"/>
      <c r="Z37" s="20"/>
    </row>
    <row r="38" spans="1:26" ht="15.75" customHeight="1" x14ac:dyDescent="0.2">
      <c r="A38" s="20"/>
      <c r="B38" s="20" t="s">
        <v>113</v>
      </c>
      <c r="C38" s="20"/>
      <c r="D38" s="32">
        <v>21</v>
      </c>
      <c r="E38" s="32">
        <f t="shared" si="0"/>
        <v>8</v>
      </c>
      <c r="F38" s="32">
        <v>1</v>
      </c>
      <c r="G38" s="32">
        <v>1</v>
      </c>
      <c r="H38" s="32">
        <v>1</v>
      </c>
      <c r="I38" s="33">
        <v>1</v>
      </c>
      <c r="J38" s="33">
        <f>$I38*($D38-1)*$G38/$H$31/$H$24/$H$17/$H$10</f>
        <v>8.3333333333333343E-2</v>
      </c>
      <c r="K38" s="33">
        <f>(1-$I38)*($D38-1)*$G38/$H$31/$H$24/$H$17/$H$10</f>
        <v>0</v>
      </c>
      <c r="L38" s="9">
        <f>(($D38-1)*$G38+1-$H38)*$I38</f>
        <v>20</v>
      </c>
      <c r="M38" s="9">
        <f>(($D38-1)*$G38+1-$H38)*(1-$I38)</f>
        <v>0</v>
      </c>
      <c r="N38" s="9">
        <f t="shared" si="29"/>
        <v>0</v>
      </c>
      <c r="O38" s="9">
        <f t="shared" si="30"/>
        <v>72000020</v>
      </c>
      <c r="P38" s="32">
        <f t="shared" si="31"/>
        <v>72000000</v>
      </c>
      <c r="Q38" s="32">
        <f>D38*E38*F38</f>
        <v>168</v>
      </c>
      <c r="R38" s="32">
        <f>P38*D38*E38*F38</f>
        <v>12096000000</v>
      </c>
      <c r="S38" s="32">
        <f>R38/$C$5/10^6</f>
        <v>4.032</v>
      </c>
      <c r="T38" s="20"/>
      <c r="U38" s="20"/>
      <c r="V38" s="20"/>
      <c r="W38" s="20"/>
      <c r="X38" s="20"/>
      <c r="Y38" s="20"/>
      <c r="Z38" s="20"/>
    </row>
    <row r="39" spans="1:26" ht="15.75" customHeight="1" x14ac:dyDescent="0.2">
      <c r="A39" s="20"/>
      <c r="B39" s="20"/>
      <c r="C39" s="20"/>
      <c r="D39" s="32"/>
      <c r="E39" s="32"/>
      <c r="F39" s="32"/>
      <c r="G39" s="32"/>
      <c r="H39" s="32"/>
      <c r="I39" s="32"/>
      <c r="J39" s="32"/>
      <c r="K39" s="32"/>
      <c r="L39" s="32"/>
      <c r="M39" s="32"/>
      <c r="N39" s="32"/>
      <c r="O39" s="32"/>
      <c r="P39" s="32"/>
      <c r="Q39" s="27"/>
      <c r="R39" s="20"/>
      <c r="S39" s="27"/>
      <c r="T39" s="20"/>
      <c r="U39" s="20"/>
      <c r="V39" s="20"/>
      <c r="W39" s="20"/>
      <c r="X39" s="20"/>
      <c r="Y39" s="20"/>
      <c r="Z39" s="20"/>
    </row>
    <row r="40" spans="1:26" ht="15.75" customHeight="1" x14ac:dyDescent="0.2">
      <c r="A40" s="20"/>
      <c r="B40" s="20"/>
      <c r="C40" s="20"/>
      <c r="D40" s="32"/>
      <c r="E40" s="32"/>
      <c r="F40" s="32"/>
      <c r="G40" s="32"/>
      <c r="P40" s="32"/>
      <c r="Q40" s="20"/>
      <c r="R40" s="20"/>
      <c r="S40" s="20"/>
      <c r="T40" s="20"/>
      <c r="U40" s="20"/>
      <c r="V40" s="20"/>
      <c r="W40" s="20"/>
      <c r="X40" s="20"/>
      <c r="Y40" s="20"/>
      <c r="Z40" s="20"/>
    </row>
    <row r="41" spans="1:26" ht="15.75" customHeight="1" x14ac:dyDescent="0.2">
      <c r="A41" s="20"/>
      <c r="B41" s="15" t="s">
        <v>58</v>
      </c>
      <c r="C41" s="15" t="s">
        <v>59</v>
      </c>
      <c r="D41" s="15"/>
      <c r="E41" s="20"/>
      <c r="F41" s="20"/>
      <c r="G41" s="20"/>
      <c r="M41" s="7" t="s">
        <v>60</v>
      </c>
      <c r="N41" s="7" t="s">
        <v>114</v>
      </c>
      <c r="O41" s="7" t="s">
        <v>115</v>
      </c>
      <c r="P41" s="7" t="s">
        <v>63</v>
      </c>
      <c r="Q41" s="7" t="s">
        <v>64</v>
      </c>
      <c r="R41" s="7" t="s">
        <v>65</v>
      </c>
      <c r="S41" s="7" t="s">
        <v>66</v>
      </c>
      <c r="T41" s="32"/>
      <c r="U41" s="32"/>
      <c r="V41" s="32"/>
      <c r="W41" s="32"/>
      <c r="X41" s="32"/>
      <c r="Y41" s="20"/>
      <c r="Z41" s="20"/>
    </row>
    <row r="42" spans="1:26" ht="15.75" customHeight="1" x14ac:dyDescent="0.2">
      <c r="A42" s="20"/>
      <c r="B42" s="15" t="s">
        <v>116</v>
      </c>
      <c r="C42" s="15" t="s">
        <v>68</v>
      </c>
      <c r="D42" s="15"/>
      <c r="E42" s="20"/>
      <c r="F42" s="20"/>
      <c r="G42" s="20"/>
      <c r="M42" s="21">
        <f>PRODUCT(H10:H38)</f>
        <v>240</v>
      </c>
      <c r="N42" s="21">
        <f>SUM(J10:J38)*C7</f>
        <v>8412.0000000000036</v>
      </c>
      <c r="O42" s="21">
        <f>SUM(K10:K38)*C7</f>
        <v>240</v>
      </c>
      <c r="P42" s="20">
        <f>SUM(N42:O42)</f>
        <v>8652.0000000000036</v>
      </c>
      <c r="Q42" s="20">
        <f>SUM(Q10:Q38)</f>
        <v>159528</v>
      </c>
      <c r="R42" s="20">
        <f>SUM(S10:S38)</f>
        <v>148.41600000000005</v>
      </c>
      <c r="S42" s="20">
        <f>R42*2</f>
        <v>296.83200000000011</v>
      </c>
      <c r="T42" s="20"/>
      <c r="U42" s="20"/>
      <c r="V42" s="27"/>
      <c r="W42" s="27"/>
      <c r="X42" s="20"/>
      <c r="Y42" s="20"/>
      <c r="Z42" s="20"/>
    </row>
    <row r="43" spans="1:26" ht="15.75" customHeight="1" x14ac:dyDescent="0.2">
      <c r="A43" s="20"/>
      <c r="B43" s="15"/>
      <c r="C43" s="16">
        <v>1</v>
      </c>
      <c r="D43" s="15" t="s">
        <v>69</v>
      </c>
      <c r="E43" s="20"/>
      <c r="F43" s="20"/>
      <c r="G43" s="20"/>
      <c r="H43" s="20"/>
      <c r="I43" s="20"/>
      <c r="J43" s="20"/>
      <c r="K43" s="20"/>
      <c r="L43" s="20"/>
      <c r="M43" s="20"/>
      <c r="N43" s="20"/>
      <c r="O43" s="20"/>
      <c r="P43" s="20"/>
      <c r="Q43" s="20"/>
      <c r="R43" s="20"/>
      <c r="S43" s="20"/>
      <c r="T43" s="20"/>
      <c r="U43" s="20"/>
      <c r="V43" s="27"/>
      <c r="W43" s="27"/>
      <c r="X43" s="20"/>
      <c r="Y43" s="20"/>
      <c r="Z43" s="20"/>
    </row>
    <row r="44" spans="1:26" ht="15.75" customHeight="1" x14ac:dyDescent="0.2">
      <c r="A44" s="20"/>
      <c r="B44" s="15"/>
      <c r="C44" s="16">
        <v>0</v>
      </c>
      <c r="D44" s="15" t="s">
        <v>70</v>
      </c>
      <c r="E44" s="20"/>
      <c r="G44" s="20"/>
      <c r="H44" s="20"/>
      <c r="Q44" s="20"/>
      <c r="R44" s="20"/>
      <c r="S44" s="20"/>
      <c r="T44" s="20"/>
      <c r="U44" s="20"/>
      <c r="V44" s="20"/>
      <c r="W44" s="20"/>
      <c r="X44" s="20"/>
      <c r="Y44" s="20"/>
      <c r="Z44" s="20"/>
    </row>
    <row r="45" spans="1:26" ht="15.75" customHeight="1" x14ac:dyDescent="0.2">
      <c r="A45" s="20"/>
      <c r="B45" s="15"/>
      <c r="C45" s="16">
        <v>0.5</v>
      </c>
      <c r="D45" s="15" t="s">
        <v>71</v>
      </c>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
      <c r="A46" s="20"/>
      <c r="B46" s="38" t="s">
        <v>117</v>
      </c>
      <c r="C46" s="38" t="s">
        <v>118</v>
      </c>
      <c r="D46" s="38"/>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
      <c r="A47" s="20"/>
      <c r="B47" s="38"/>
      <c r="C47" s="39">
        <v>1</v>
      </c>
      <c r="D47" s="38" t="s">
        <v>119</v>
      </c>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
      <c r="A48" s="20"/>
      <c r="B48" s="38"/>
      <c r="C48" s="39">
        <v>0</v>
      </c>
      <c r="D48" s="38" t="s">
        <v>120</v>
      </c>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
      <c r="A49" s="20"/>
      <c r="B49" s="38"/>
      <c r="C49" s="39">
        <v>0.5</v>
      </c>
      <c r="D49" s="38" t="s">
        <v>71</v>
      </c>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
      <c r="A50" s="20"/>
      <c r="B50" s="38"/>
      <c r="C50" s="39"/>
      <c r="D50" s="38"/>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
      <c r="A51" s="20"/>
      <c r="B51" s="38" t="s">
        <v>72</v>
      </c>
      <c r="C51" s="38" t="s">
        <v>73</v>
      </c>
      <c r="D51" s="38"/>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
      <c r="A52" s="20"/>
      <c r="B52" s="38"/>
      <c r="C52" s="38" t="s">
        <v>74</v>
      </c>
      <c r="D52" s="38"/>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
      <c r="A55" s="20"/>
      <c r="B55" s="15" t="s">
        <v>75</v>
      </c>
      <c r="C55" s="15" t="s">
        <v>76</v>
      </c>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
      <c r="A56" s="20"/>
      <c r="B56" s="15" t="s">
        <v>77</v>
      </c>
      <c r="C56" s="15" t="s">
        <v>78</v>
      </c>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
      <c r="A57" s="20"/>
      <c r="B57" s="15" t="s">
        <v>79</v>
      </c>
      <c r="C57" s="17" t="s">
        <v>121</v>
      </c>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4"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4"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4"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4"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4"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4"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4"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4"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4"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4"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4"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4"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4"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4"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4"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4"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4"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4"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4"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4"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4"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4"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4"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4"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4"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4"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4"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4"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4"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4"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4"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4"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4"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4"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4"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4"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4"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4"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4"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4"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4"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4"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4"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4"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4"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4"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4"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4"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4"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4"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4"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4"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4"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4"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4"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4"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4"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4"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4"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4"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4"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4"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4"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4"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4"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4"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4"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4"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4"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4"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4"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4"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4"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4"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4"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4"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4"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4"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4"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4"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4"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4"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4"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4"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4"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4"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4"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4"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4"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4"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4"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4"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4"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4"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4"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4"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4"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4"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4"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4"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4"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4"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4"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4"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4"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4"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4"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4"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4"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4"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4"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4"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4"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4"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4"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4"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4"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4"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4"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4"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4"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4"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4"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4"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4"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4"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4"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4"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4"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4"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4"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4"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4"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4"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4"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4"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4"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4"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4"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4"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4"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4"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4"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4"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4"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4"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4"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4"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4"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4"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4"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4"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4"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4"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4"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4"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4"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4"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4"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4"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4"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4"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4"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4"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4"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4"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4"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4"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4"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4"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4"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4"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4"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4"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4"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4"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4"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4"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4"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4"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4"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4"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4"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4"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4"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4"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4"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4"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4"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4"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4"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4"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4"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4"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4"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4"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4"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4"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4"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4"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4"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4"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4"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4"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4"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4"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4"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4"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4"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4"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4"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4"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4"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4"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4"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4"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4"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4"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4"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4"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4"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4"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4"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4"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4"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4"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4"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4"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4"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4"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4"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4"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4"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4"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4"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4"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4"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4"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4"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4"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4"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4"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4"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4"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4"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4"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4"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4"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4"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4"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4"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4"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4"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4"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4"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4"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4"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4"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4"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4"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4"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4"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4"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4"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4"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4"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4"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4"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4"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4"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4"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4"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4"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4"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4"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4"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4"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4"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4"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4"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4"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4"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4"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4"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4"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4"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4"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4"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4"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4"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4"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4"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4"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4"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4"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4"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4"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4"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4"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4"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4"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4"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4"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4"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4"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4"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4"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4"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4"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4"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4"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4"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4"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4"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4"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4"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4"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4"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4"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4"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4"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4"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4"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4"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4"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4"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4"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4"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4"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4"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4"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4"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4"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4"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4"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4"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4"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4"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4"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4"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4"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4"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4"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4"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4"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4"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4"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4"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4"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4"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4"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4"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4"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4"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4"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4"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4"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4"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4"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4"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4"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4"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4"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4"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4"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4"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4"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4"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4"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4"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4"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4"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4"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4"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4"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4"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4"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4"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4"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4"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4"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4"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4"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4"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4"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4"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4"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4"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4"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4"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4"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4"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4"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4"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4"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4"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4"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4"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4"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4"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4"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4"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4"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4"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4"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4"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4"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4"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4"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4"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4"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4"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4"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4"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4"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4"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4"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4"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4"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4"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4"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4"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4"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4"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4"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4"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4"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4"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4"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4"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4"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4"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4"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4"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4"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4"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4"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4"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4"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4"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4"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4"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4"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4"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4"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4"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4"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4"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4"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4"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4"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4"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4"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4"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4"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4"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4"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4"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4"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4"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4"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4"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4"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4"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4"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4"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4"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4"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4"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4"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4"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4"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4"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4"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4"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4"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4"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4"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4"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4"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4"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4"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4"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4"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4"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4"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4"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4"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4"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4"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4"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4"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4"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4"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4"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4"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4"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4"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4"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4"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4"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4"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4"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4"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4"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4"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4"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4"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4"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4"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4"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4"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4"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4"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4"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4"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4"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4"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4"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4"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4"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4"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4"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4"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4"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4"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4"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4"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4"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4"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4"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4"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4"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4"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4"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4"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4"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4"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4"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4"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4"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4"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4"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4"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4"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4"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4"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4"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4"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4"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4"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4"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4"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4"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4"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4"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4"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4"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4"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4"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4"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4"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4"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4"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4"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4"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4"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4"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4"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4"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4"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4"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4"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4"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4"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4"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4"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4"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4"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4"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4"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4"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4"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4"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4"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4"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4"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4"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4"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4"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4"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4"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4"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4"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4"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4"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4"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4"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4"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4"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4"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4"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4"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4"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4"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4"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4"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4"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4"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4"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4"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4"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4"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4"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4"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4"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4"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4"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4"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4"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4"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4"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4"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4"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4"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4"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4"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4"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4"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4"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4"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4"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4"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4"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4"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4"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4"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4"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4"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4"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4"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4"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4"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4"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4"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4"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4"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4"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4"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4"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4"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4"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4"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4"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4"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4"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4"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4"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4"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4"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4"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4"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4"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4"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4"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4"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4"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4"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4"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4"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4"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4"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4"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4"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4"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4"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4"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4"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4"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4"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4"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4"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4"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4"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4"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4"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4"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4"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4"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4"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4"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4"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4"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4"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4"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4"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4"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4"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4"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4"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4"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4"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4"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4"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4"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4"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4"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4"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4"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4"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4"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4"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4"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4"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4"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4"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4"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4"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4"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4"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4"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4"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4"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4"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4"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4"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4"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4"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4"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4"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4"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4"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4"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4"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4"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4"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4"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4"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4"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4"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4"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4"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4"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4"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4"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4"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4"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4"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4"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4"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4"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4"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4"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4"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4"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4"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4"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4"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4"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4"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4"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4"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4"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4"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4"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4"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4"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4"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4"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4"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4"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4"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4"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4"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4"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4"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4"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4"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4"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4"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4"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4"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4"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4"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4"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4"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4"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4"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4"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4"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4"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4"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4"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4"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4"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4"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4" x14ac:dyDescent="0.2">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4" x14ac:dyDescent="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4" x14ac:dyDescent="0.2">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4" x14ac:dyDescent="0.2">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spans="1:26" ht="14" x14ac:dyDescent="0.2">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sheetData>
  <pageMargins left="0" right="0" top="0" bottom="0" header="0" footer="0"/>
  <headerFooter>
    <oddFooter>&amp;R_x000D_&amp;1#&amp;"Calibri"&amp;8&amp;K000000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5F07B-C851-6540-82AF-526097C89484}">
  <dimension ref="B2:D17"/>
  <sheetViews>
    <sheetView workbookViewId="0">
      <selection activeCell="C21" sqref="C21"/>
    </sheetView>
  </sheetViews>
  <sheetFormatPr baseColWidth="10" defaultRowHeight="15" x14ac:dyDescent="0.2"/>
  <cols>
    <col min="2" max="2" width="46.6640625" bestFit="1" customWidth="1"/>
    <col min="3" max="3" width="19.83203125" customWidth="1"/>
    <col min="4" max="4" width="27.83203125" bestFit="1" customWidth="1"/>
  </cols>
  <sheetData>
    <row r="2" spans="2:4" ht="21" x14ac:dyDescent="0.25">
      <c r="B2" s="40" t="s">
        <v>122</v>
      </c>
      <c r="C2" s="41"/>
      <c r="D2" s="41"/>
    </row>
    <row r="4" spans="2:4" ht="21" x14ac:dyDescent="0.25">
      <c r="C4" s="42" t="s">
        <v>123</v>
      </c>
      <c r="D4" s="42" t="s">
        <v>124</v>
      </c>
    </row>
    <row r="5" spans="2:4" ht="21" x14ac:dyDescent="0.25">
      <c r="B5" s="43" t="s">
        <v>125</v>
      </c>
      <c r="C5" s="44">
        <f>'Encoder-Track1'!S39+'VQ-Track1'!K4</f>
        <v>394.52160000000009</v>
      </c>
      <c r="D5" s="19">
        <v>400</v>
      </c>
    </row>
    <row r="6" spans="2:4" ht="21" x14ac:dyDescent="0.25">
      <c r="B6" s="43" t="s">
        <v>126</v>
      </c>
      <c r="C6" s="44">
        <f>'Decoder-Track1'!S42</f>
        <v>296.83200000000011</v>
      </c>
      <c r="D6" s="19">
        <v>300</v>
      </c>
    </row>
    <row r="10" spans="2:4" ht="21" x14ac:dyDescent="0.25">
      <c r="B10" s="40" t="s">
        <v>127</v>
      </c>
      <c r="C10" s="41"/>
      <c r="D10" s="41"/>
    </row>
    <row r="13" spans="2:4" ht="21" x14ac:dyDescent="0.25">
      <c r="B13" s="43" t="s">
        <v>128</v>
      </c>
      <c r="C13" s="19">
        <f>'Encoder-Track1'!O39/'Encoder-Track1'!C3*1000</f>
        <v>10</v>
      </c>
    </row>
    <row r="14" spans="2:4" ht="21" x14ac:dyDescent="0.25">
      <c r="B14" s="43" t="s">
        <v>129</v>
      </c>
      <c r="C14" s="19">
        <f>'Decoder-Track1'!O42/'Encoder-Track1'!C3*1000</f>
        <v>10</v>
      </c>
    </row>
    <row r="15" spans="2:4" ht="21" x14ac:dyDescent="0.25">
      <c r="B15" s="43" t="s">
        <v>130</v>
      </c>
      <c r="C15" s="19">
        <f>'Encoder-Track1'!M39/'Encoder-Track1'!C3*1000</f>
        <v>10</v>
      </c>
    </row>
    <row r="16" spans="2:4" ht="21" x14ac:dyDescent="0.25">
      <c r="B16" s="43" t="s">
        <v>131</v>
      </c>
      <c r="C16" s="44">
        <f>SUM(C13:C15)</f>
        <v>30</v>
      </c>
    </row>
    <row r="17" spans="2:3" ht="21" x14ac:dyDescent="0.25">
      <c r="B17" s="42" t="s">
        <v>132</v>
      </c>
      <c r="C17" s="19">
        <v>30</v>
      </c>
    </row>
  </sheetData>
  <mergeCells count="2">
    <mergeCell ref="B2:D2"/>
    <mergeCell ref="B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C7B9-FFA6-B246-9773-6978C1B544B3}">
  <sheetPr>
    <outlinePr summaryBelow="0" summaryRight="0"/>
  </sheetPr>
  <dimension ref="A1:AB1013"/>
  <sheetViews>
    <sheetView zoomScale="120" zoomScaleNormal="120" workbookViewId="0">
      <selection activeCell="O55" sqref="O55"/>
    </sheetView>
  </sheetViews>
  <sheetFormatPr baseColWidth="10" defaultColWidth="12.5" defaultRowHeight="15.75" customHeight="1" x14ac:dyDescent="0.2"/>
  <cols>
    <col min="1" max="1" width="12.5" style="4"/>
    <col min="2" max="2" width="19.1640625" style="4" bestFit="1" customWidth="1"/>
    <col min="3" max="3" width="17.5" style="4" customWidth="1"/>
    <col min="4" max="4" width="12.1640625" style="4" customWidth="1"/>
    <col min="5" max="5" width="12.5" style="4"/>
    <col min="6" max="6" width="13.6640625" style="4" bestFit="1" customWidth="1"/>
    <col min="7" max="9" width="12.5" style="4"/>
    <col min="10" max="10" width="16.83203125" style="4" bestFit="1" customWidth="1"/>
    <col min="11" max="11" width="17.83203125" style="4" bestFit="1" customWidth="1"/>
    <col min="12" max="13" width="12.5" style="4"/>
    <col min="14" max="14" width="16.83203125" style="4" bestFit="1" customWidth="1"/>
    <col min="15" max="15" width="16.83203125" style="4" customWidth="1"/>
    <col min="16" max="17" width="12.5" style="4"/>
    <col min="18" max="18" width="12.83203125" style="4" customWidth="1"/>
    <col min="19" max="16384" width="12.5" style="4"/>
  </cols>
  <sheetData>
    <row r="1" spans="1:28" ht="15.75" customHeight="1" x14ac:dyDescent="0.2">
      <c r="A1" s="1"/>
      <c r="B1" s="1"/>
      <c r="C1" s="1"/>
      <c r="D1" s="8"/>
      <c r="E1" s="8"/>
      <c r="F1" s="1"/>
      <c r="G1" s="8"/>
      <c r="H1" s="8"/>
      <c r="I1" s="1"/>
      <c r="J1" s="8"/>
      <c r="K1" s="1"/>
      <c r="L1" s="1"/>
      <c r="M1" s="1"/>
      <c r="N1" s="1"/>
      <c r="O1" s="1"/>
      <c r="P1" s="1"/>
      <c r="Q1" s="1"/>
      <c r="R1" s="1"/>
      <c r="S1" s="1"/>
      <c r="T1" s="1"/>
      <c r="U1" s="1"/>
      <c r="V1" s="1"/>
      <c r="W1" s="1"/>
      <c r="X1" s="1"/>
      <c r="Y1" s="1"/>
      <c r="Z1" s="1"/>
      <c r="AA1" s="1"/>
      <c r="AB1" s="1"/>
    </row>
    <row r="2" spans="1:28" ht="15" x14ac:dyDescent="0.2">
      <c r="A2" s="1"/>
      <c r="B2" s="2" t="s">
        <v>0</v>
      </c>
      <c r="C2" s="3">
        <f>M50*1000000</f>
        <v>240000000</v>
      </c>
      <c r="D2" s="1"/>
      <c r="E2" s="1"/>
      <c r="F2" s="1"/>
      <c r="G2" s="1"/>
      <c r="H2" s="1"/>
      <c r="I2" s="1"/>
      <c r="J2" s="1"/>
      <c r="K2" s="1"/>
      <c r="L2" s="1"/>
      <c r="M2" s="1"/>
      <c r="N2" s="1"/>
      <c r="O2" s="1"/>
      <c r="P2" s="1"/>
      <c r="Q2" s="1"/>
      <c r="R2" s="1"/>
      <c r="S2" s="1"/>
      <c r="T2" s="1"/>
      <c r="U2" s="1"/>
      <c r="V2" s="1"/>
      <c r="W2" s="1"/>
      <c r="X2" s="1"/>
      <c r="Y2" s="1"/>
      <c r="Z2" s="1"/>
      <c r="AA2" s="1"/>
      <c r="AB2" s="1"/>
    </row>
    <row r="3" spans="1:28" ht="15" x14ac:dyDescent="0.2">
      <c r="A3" s="1"/>
      <c r="B3" s="2" t="s">
        <v>1</v>
      </c>
      <c r="C3" s="3">
        <v>24000</v>
      </c>
      <c r="F3" s="1"/>
      <c r="G3" s="1"/>
      <c r="H3" s="1"/>
      <c r="I3" s="1"/>
      <c r="J3" s="1"/>
      <c r="K3" s="1"/>
      <c r="L3" s="1"/>
      <c r="M3" s="1"/>
      <c r="N3" s="1"/>
      <c r="O3" s="1"/>
      <c r="P3" s="1"/>
      <c r="Q3" s="1"/>
      <c r="R3" s="1"/>
      <c r="S3" s="1"/>
      <c r="T3" s="1"/>
      <c r="U3" s="1"/>
      <c r="V3" s="1"/>
      <c r="W3" s="1"/>
      <c r="X3" s="1"/>
      <c r="Y3" s="1"/>
      <c r="Z3" s="1"/>
      <c r="AA3" s="1"/>
      <c r="AB3" s="1"/>
    </row>
    <row r="4" spans="1:28" ht="15" x14ac:dyDescent="0.2">
      <c r="A4" s="1"/>
      <c r="B4" s="2" t="s">
        <v>2</v>
      </c>
      <c r="C4" s="3">
        <f>C2/C3</f>
        <v>10000</v>
      </c>
      <c r="D4" s="3"/>
      <c r="E4" s="3"/>
      <c r="F4" s="1"/>
      <c r="G4" s="1"/>
      <c r="H4" s="1"/>
      <c r="I4" s="1"/>
      <c r="J4" s="1"/>
      <c r="K4" s="1"/>
      <c r="L4" s="1"/>
      <c r="M4" s="1"/>
      <c r="N4" s="1"/>
      <c r="O4" s="1"/>
      <c r="P4" s="1"/>
      <c r="Q4" s="1"/>
      <c r="R4" s="1"/>
      <c r="S4" s="1"/>
      <c r="T4" s="1"/>
      <c r="U4" s="1"/>
      <c r="V4" s="1"/>
      <c r="W4" s="1"/>
      <c r="X4" s="1"/>
      <c r="Y4" s="1"/>
      <c r="Z4" s="1"/>
      <c r="AA4" s="1"/>
      <c r="AB4" s="1"/>
    </row>
    <row r="5" spans="1:28" ht="14" x14ac:dyDescent="0.2">
      <c r="A5" s="1"/>
      <c r="B5" s="1"/>
      <c r="D5" s="1"/>
      <c r="E5" s="1"/>
      <c r="F5" s="1"/>
      <c r="G5" s="1"/>
      <c r="H5" s="1"/>
      <c r="I5" s="1"/>
      <c r="J5" s="1"/>
      <c r="K5" s="1"/>
      <c r="L5" s="1"/>
      <c r="M5" s="1"/>
      <c r="N5" s="1"/>
      <c r="O5" s="1"/>
      <c r="P5" s="1"/>
      <c r="Q5" s="1"/>
      <c r="R5" s="1"/>
      <c r="S5" s="1"/>
      <c r="T5" s="1"/>
      <c r="U5" s="1"/>
      <c r="V5" s="1"/>
      <c r="W5" s="1"/>
      <c r="X5" s="1"/>
      <c r="Y5" s="1"/>
      <c r="Z5" s="1"/>
      <c r="AA5" s="1"/>
      <c r="AB5" s="1"/>
    </row>
    <row r="6" spans="1:28" ht="14" x14ac:dyDescent="0.2">
      <c r="A6" s="1"/>
      <c r="B6" s="1"/>
      <c r="C6" s="1"/>
      <c r="D6" s="1"/>
      <c r="E6" s="1"/>
      <c r="F6" s="1"/>
      <c r="G6" s="1"/>
      <c r="H6" s="1"/>
      <c r="I6" s="1"/>
      <c r="J6" s="1"/>
      <c r="K6" s="1"/>
      <c r="L6" s="1"/>
      <c r="M6" s="1"/>
      <c r="N6" s="1"/>
      <c r="O6" s="1"/>
      <c r="P6" s="1"/>
      <c r="Q6" s="1"/>
      <c r="R6" s="1"/>
      <c r="S6" s="1"/>
      <c r="T6" s="1"/>
      <c r="U6" s="1"/>
      <c r="V6" s="1"/>
      <c r="W6" s="1"/>
      <c r="X6" s="1"/>
      <c r="Y6" s="1"/>
      <c r="Z6" s="1"/>
      <c r="AA6" s="1"/>
      <c r="AB6" s="1"/>
    </row>
    <row r="7" spans="1:28" ht="15" x14ac:dyDescent="0.2">
      <c r="A7" s="1"/>
      <c r="B7" s="2" t="s">
        <v>3</v>
      </c>
      <c r="C7" s="2" t="s">
        <v>4</v>
      </c>
      <c r="D7" s="7" t="s">
        <v>5</v>
      </c>
      <c r="E7" s="7" t="s">
        <v>6</v>
      </c>
      <c r="F7" s="7" t="s">
        <v>7</v>
      </c>
      <c r="G7" s="7" t="s">
        <v>8</v>
      </c>
      <c r="H7" s="7" t="s">
        <v>9</v>
      </c>
      <c r="I7" s="7" t="s">
        <v>10</v>
      </c>
      <c r="J7" s="2" t="s">
        <v>11</v>
      </c>
      <c r="K7" s="2" t="s">
        <v>12</v>
      </c>
      <c r="L7" s="2" t="s">
        <v>13</v>
      </c>
      <c r="M7" s="2" t="s">
        <v>14</v>
      </c>
      <c r="N7" s="2" t="s">
        <v>15</v>
      </c>
      <c r="O7" s="2" t="s">
        <v>16</v>
      </c>
      <c r="P7" s="2" t="s">
        <v>17</v>
      </c>
      <c r="Q7" s="7" t="s">
        <v>18</v>
      </c>
      <c r="R7" s="7" t="s">
        <v>19</v>
      </c>
      <c r="S7" s="7" t="s">
        <v>20</v>
      </c>
      <c r="T7" s="1"/>
      <c r="U7" s="1"/>
      <c r="V7" s="1"/>
      <c r="W7" s="1"/>
      <c r="X7" s="1"/>
      <c r="Y7" s="1"/>
      <c r="Z7" s="1"/>
      <c r="AA7" s="1"/>
      <c r="AB7" s="1"/>
    </row>
    <row r="8" spans="1:28" ht="14" x14ac:dyDescent="0.2">
      <c r="A8" s="1"/>
      <c r="B8" s="1" t="s">
        <v>21</v>
      </c>
      <c r="C8" s="1" t="s">
        <v>21</v>
      </c>
      <c r="D8" s="8">
        <v>7</v>
      </c>
      <c r="E8" s="8">
        <v>1</v>
      </c>
      <c r="F8" s="8">
        <v>8</v>
      </c>
      <c r="G8" s="8">
        <v>1</v>
      </c>
      <c r="H8" s="8">
        <v>1</v>
      </c>
      <c r="I8" s="8">
        <v>1</v>
      </c>
      <c r="J8" s="9">
        <f>$I8*($D8-1)*$G8</f>
        <v>6</v>
      </c>
      <c r="K8" s="9">
        <f>(1-$I8)*($D8-1)*$G8</f>
        <v>0</v>
      </c>
      <c r="L8" s="9">
        <f>(($D8-1)*$G8+1-$H8)*$I8</f>
        <v>6</v>
      </c>
      <c r="M8" s="9">
        <f>(($D8-1)*$G8+1-$H8)*(1-$I8)</f>
        <v>0</v>
      </c>
      <c r="N8" s="9">
        <f>CEILING((C2-H8)/H8+1, 1)*H8-C2</f>
        <v>0</v>
      </c>
      <c r="O8" s="9">
        <f>C2+L8+M8+N8</f>
        <v>240000006</v>
      </c>
      <c r="P8" s="3">
        <f>(O8-G8*(D8-1)-1)/H8+1</f>
        <v>240000000</v>
      </c>
      <c r="Q8" s="8">
        <f t="shared" ref="Q8:Q47" si="0">D8*E8*F8</f>
        <v>56</v>
      </c>
      <c r="R8" s="8">
        <f t="shared" ref="R8:R17" si="1">P8*D8*E8*F8</f>
        <v>13440000000</v>
      </c>
      <c r="S8" s="8">
        <f>R8/10^6/$C$4</f>
        <v>1.3440000000000001</v>
      </c>
      <c r="T8" s="1"/>
      <c r="U8" s="1"/>
      <c r="V8" s="1"/>
      <c r="W8" s="1"/>
      <c r="X8" s="1"/>
      <c r="Y8" s="1"/>
      <c r="Z8" s="1"/>
      <c r="AA8" s="1"/>
      <c r="AB8" s="1"/>
    </row>
    <row r="9" spans="1:28" ht="14" x14ac:dyDescent="0.2">
      <c r="A9" s="1"/>
      <c r="B9" s="1" t="s">
        <v>22</v>
      </c>
      <c r="C9" s="1" t="s">
        <v>23</v>
      </c>
      <c r="D9" s="8">
        <v>7</v>
      </c>
      <c r="E9" s="8">
        <f t="shared" ref="E9:E16" si="2">F8</f>
        <v>8</v>
      </c>
      <c r="F9" s="8">
        <f>F8</f>
        <v>8</v>
      </c>
      <c r="G9" s="8">
        <v>3</v>
      </c>
      <c r="H9" s="8">
        <v>1</v>
      </c>
      <c r="I9" s="8">
        <v>1</v>
      </c>
      <c r="J9" s="9">
        <f>$I9*($D9-1)*$G9*PRODUCT(H8:H8)</f>
        <v>18</v>
      </c>
      <c r="K9" s="9">
        <f>(1-$I9)*($D9-1)*$G9*PRODUCT(H8:H8)</f>
        <v>0</v>
      </c>
      <c r="L9" s="9">
        <f>(($D9-1)*$G9+1-$H9)*$I9</f>
        <v>18</v>
      </c>
      <c r="M9" s="9">
        <f t="shared" ref="M9:M17" si="3">(($D9-1)*$G9+1-$H9)*(1-$I9)</f>
        <v>0</v>
      </c>
      <c r="N9" s="9">
        <f t="shared" ref="N9:N47" si="4">CEILING((P8-H9)/H9+1, 1)*H9-P8</f>
        <v>0</v>
      </c>
      <c r="O9" s="9">
        <f>P8+L9+M9+N9</f>
        <v>240000018</v>
      </c>
      <c r="P9" s="3">
        <f>(O9-G9*(D9-1)-1)/H9+1</f>
        <v>240000000</v>
      </c>
      <c r="Q9" s="8">
        <f t="shared" si="0"/>
        <v>448</v>
      </c>
      <c r="R9" s="8">
        <f t="shared" si="1"/>
        <v>107520000000</v>
      </c>
      <c r="S9" s="8">
        <f>R9/10^6/$C$4</f>
        <v>10.752000000000001</v>
      </c>
      <c r="T9" s="1"/>
      <c r="U9" s="1"/>
      <c r="V9" s="1"/>
      <c r="W9" s="1"/>
      <c r="X9" s="1"/>
      <c r="Y9" s="1"/>
      <c r="Z9" s="1"/>
      <c r="AA9" s="1"/>
      <c r="AB9" s="1"/>
    </row>
    <row r="10" spans="1:28" ht="14" x14ac:dyDescent="0.2">
      <c r="A10" s="1"/>
      <c r="B10" s="1" t="s">
        <v>24</v>
      </c>
      <c r="C10" s="1" t="s">
        <v>23</v>
      </c>
      <c r="D10" s="8">
        <v>3</v>
      </c>
      <c r="E10" s="8">
        <f>F9</f>
        <v>8</v>
      </c>
      <c r="F10" s="8">
        <f>F8</f>
        <v>8</v>
      </c>
      <c r="G10" s="8">
        <v>1</v>
      </c>
      <c r="H10" s="8">
        <v>1</v>
      </c>
      <c r="I10" s="8">
        <v>1</v>
      </c>
      <c r="J10" s="9">
        <f>$I10*($D10-1)*$G10*PRODUCT(H8:H9)</f>
        <v>2</v>
      </c>
      <c r="K10" s="9">
        <f>(1-$I10)*($D10-1)*$G10*PRODUCT(H8:H9)</f>
        <v>0</v>
      </c>
      <c r="L10" s="9">
        <f t="shared" ref="L10:L17" si="5">(($D10-1)*$G10+1-$H10)*$I10</f>
        <v>2</v>
      </c>
      <c r="M10" s="9">
        <f t="shared" si="3"/>
        <v>0</v>
      </c>
      <c r="N10" s="9">
        <f t="shared" si="4"/>
        <v>0</v>
      </c>
      <c r="O10" s="9">
        <f t="shared" ref="O10:O17" si="6">P9+L10+M10+N10</f>
        <v>240000002</v>
      </c>
      <c r="P10" s="3">
        <f t="shared" ref="P10:P17" si="7">(O10-G10*(D10-1)-1)/H10+1</f>
        <v>240000000</v>
      </c>
      <c r="Q10" s="8">
        <f t="shared" si="0"/>
        <v>192</v>
      </c>
      <c r="R10" s="8">
        <f t="shared" si="1"/>
        <v>46080000000</v>
      </c>
      <c r="S10" s="8">
        <f t="shared" ref="S10:S17" si="8">R10/10^6/$C$4</f>
        <v>4.6079999999999997</v>
      </c>
      <c r="T10" s="1"/>
      <c r="U10" s="1"/>
      <c r="V10" s="1"/>
      <c r="W10" s="1"/>
      <c r="X10" s="1"/>
      <c r="Y10" s="1"/>
      <c r="Z10" s="1"/>
      <c r="AA10" s="1"/>
      <c r="AB10" s="1"/>
    </row>
    <row r="11" spans="1:28" ht="14" x14ac:dyDescent="0.2">
      <c r="A11" s="1"/>
      <c r="B11" s="1" t="s">
        <v>25</v>
      </c>
      <c r="C11" s="1" t="s">
        <v>23</v>
      </c>
      <c r="D11" s="8">
        <v>7</v>
      </c>
      <c r="E11" s="8">
        <f>F10</f>
        <v>8</v>
      </c>
      <c r="F11" s="8">
        <f>F8</f>
        <v>8</v>
      </c>
      <c r="G11" s="8">
        <v>9</v>
      </c>
      <c r="H11" s="8">
        <v>1</v>
      </c>
      <c r="I11" s="8">
        <v>1</v>
      </c>
      <c r="J11" s="9">
        <f>$I11*($D11-1)*$G11*PRODUCT(H8:H10)</f>
        <v>54</v>
      </c>
      <c r="K11" s="9">
        <f>(1-$I11)*($D11-1)*$G11*PRODUCT(H8:H10)</f>
        <v>0</v>
      </c>
      <c r="L11" s="9">
        <f t="shared" si="5"/>
        <v>54</v>
      </c>
      <c r="M11" s="9">
        <f t="shared" si="3"/>
        <v>0</v>
      </c>
      <c r="N11" s="9">
        <f t="shared" si="4"/>
        <v>0</v>
      </c>
      <c r="O11" s="9">
        <f t="shared" si="6"/>
        <v>240000054</v>
      </c>
      <c r="P11" s="3">
        <f t="shared" si="7"/>
        <v>240000000</v>
      </c>
      <c r="Q11" s="8">
        <f t="shared" si="0"/>
        <v>448</v>
      </c>
      <c r="R11" s="8">
        <f t="shared" si="1"/>
        <v>107520000000</v>
      </c>
      <c r="S11" s="8">
        <f t="shared" si="8"/>
        <v>10.752000000000001</v>
      </c>
      <c r="T11" s="1"/>
      <c r="U11" s="1"/>
      <c r="V11" s="1"/>
      <c r="W11" s="1"/>
      <c r="X11" s="1"/>
      <c r="Y11" s="1"/>
      <c r="Z11" s="1"/>
      <c r="AA11" s="1"/>
      <c r="AB11" s="1"/>
    </row>
    <row r="12" spans="1:28" ht="14" x14ac:dyDescent="0.2">
      <c r="A12" s="1"/>
      <c r="B12" s="1" t="s">
        <v>26</v>
      </c>
      <c r="C12" s="1" t="s">
        <v>23</v>
      </c>
      <c r="D12" s="8">
        <v>3</v>
      </c>
      <c r="E12" s="8">
        <f>F11</f>
        <v>8</v>
      </c>
      <c r="F12" s="8">
        <f>F8</f>
        <v>8</v>
      </c>
      <c r="G12" s="8">
        <v>1</v>
      </c>
      <c r="H12" s="8">
        <v>1</v>
      </c>
      <c r="I12" s="8">
        <v>1</v>
      </c>
      <c r="J12" s="9">
        <f>$I12*($D12-1)*$G12*PRODUCT(H8:H11)</f>
        <v>2</v>
      </c>
      <c r="K12" s="9">
        <f>(1-$I12)*($D12-1)*$G12*PRODUCT(H8:H11)</f>
        <v>0</v>
      </c>
      <c r="L12" s="9">
        <f t="shared" si="5"/>
        <v>2</v>
      </c>
      <c r="M12" s="9">
        <f t="shared" si="3"/>
        <v>0</v>
      </c>
      <c r="N12" s="9">
        <f t="shared" si="4"/>
        <v>0</v>
      </c>
      <c r="O12" s="9">
        <f t="shared" si="6"/>
        <v>240000002</v>
      </c>
      <c r="P12" s="3">
        <f t="shared" si="7"/>
        <v>240000000</v>
      </c>
      <c r="Q12" s="8">
        <f t="shared" si="0"/>
        <v>192</v>
      </c>
      <c r="R12" s="8">
        <f t="shared" si="1"/>
        <v>46080000000</v>
      </c>
      <c r="S12" s="8">
        <f t="shared" si="8"/>
        <v>4.6079999999999997</v>
      </c>
      <c r="T12" s="1"/>
      <c r="U12" s="1"/>
      <c r="V12" s="1"/>
      <c r="W12" s="1"/>
      <c r="X12" s="1"/>
      <c r="Y12" s="1"/>
      <c r="Z12" s="1"/>
      <c r="AA12" s="1"/>
      <c r="AB12" s="1"/>
    </row>
    <row r="13" spans="1:28" ht="14" x14ac:dyDescent="0.2">
      <c r="A13" s="1"/>
      <c r="B13" s="1" t="s">
        <v>27</v>
      </c>
      <c r="C13" s="1" t="s">
        <v>23</v>
      </c>
      <c r="D13" s="8">
        <v>7</v>
      </c>
      <c r="E13" s="8">
        <f>F12</f>
        <v>8</v>
      </c>
      <c r="F13" s="8">
        <f>F8</f>
        <v>8</v>
      </c>
      <c r="G13" s="8">
        <v>27</v>
      </c>
      <c r="H13" s="8">
        <v>1</v>
      </c>
      <c r="I13" s="8">
        <v>1</v>
      </c>
      <c r="J13" s="9">
        <f>$I13*($D13-1)*$G13*PRODUCT(H8:H12)</f>
        <v>162</v>
      </c>
      <c r="K13" s="9">
        <f>(1-$I13)*($D13-1)*$G13*PRODUCT(H8:H12)</f>
        <v>0</v>
      </c>
      <c r="L13" s="9">
        <f t="shared" si="5"/>
        <v>162</v>
      </c>
      <c r="M13" s="9">
        <f t="shared" si="3"/>
        <v>0</v>
      </c>
      <c r="N13" s="9">
        <f t="shared" si="4"/>
        <v>0</v>
      </c>
      <c r="O13" s="9">
        <f t="shared" si="6"/>
        <v>240000162</v>
      </c>
      <c r="P13" s="3">
        <f t="shared" si="7"/>
        <v>240000000</v>
      </c>
      <c r="Q13" s="8">
        <f t="shared" si="0"/>
        <v>448</v>
      </c>
      <c r="R13" s="8">
        <f t="shared" si="1"/>
        <v>107520000000</v>
      </c>
      <c r="S13" s="8">
        <f t="shared" si="8"/>
        <v>10.752000000000001</v>
      </c>
      <c r="T13" s="1"/>
      <c r="U13" s="1"/>
      <c r="V13" s="1"/>
      <c r="W13" s="1"/>
      <c r="X13" s="1"/>
      <c r="Y13" s="1"/>
      <c r="Z13" s="1"/>
      <c r="AA13" s="1"/>
      <c r="AB13" s="1"/>
    </row>
    <row r="14" spans="1:28" ht="14" x14ac:dyDescent="0.2">
      <c r="A14" s="1"/>
      <c r="B14" s="1" t="s">
        <v>28</v>
      </c>
      <c r="C14" s="1" t="s">
        <v>23</v>
      </c>
      <c r="D14" s="8">
        <v>3</v>
      </c>
      <c r="E14" s="8">
        <f>F13</f>
        <v>8</v>
      </c>
      <c r="F14" s="8">
        <f>F8</f>
        <v>8</v>
      </c>
      <c r="G14" s="8">
        <v>1</v>
      </c>
      <c r="H14" s="8">
        <v>1</v>
      </c>
      <c r="I14" s="8">
        <v>1</v>
      </c>
      <c r="J14" s="9">
        <f>$I14*($D14-1)*$G14*PRODUCT(H8:H13)</f>
        <v>2</v>
      </c>
      <c r="K14" s="9">
        <f>(1-$I14)*($D14-1)*$G14*PRODUCT(H8:H13)</f>
        <v>0</v>
      </c>
      <c r="L14" s="9">
        <f t="shared" si="5"/>
        <v>2</v>
      </c>
      <c r="M14" s="9">
        <f t="shared" si="3"/>
        <v>0</v>
      </c>
      <c r="N14" s="9">
        <f t="shared" si="4"/>
        <v>0</v>
      </c>
      <c r="O14" s="9">
        <f t="shared" si="6"/>
        <v>240000002</v>
      </c>
      <c r="P14" s="3">
        <f t="shared" si="7"/>
        <v>240000000</v>
      </c>
      <c r="Q14" s="8">
        <f t="shared" si="0"/>
        <v>192</v>
      </c>
      <c r="R14" s="8">
        <f t="shared" si="1"/>
        <v>46080000000</v>
      </c>
      <c r="S14" s="8">
        <f t="shared" si="8"/>
        <v>4.6079999999999997</v>
      </c>
      <c r="T14" s="1"/>
      <c r="U14" s="1"/>
      <c r="V14" s="1"/>
      <c r="W14" s="1"/>
      <c r="X14" s="1"/>
      <c r="Y14" s="1"/>
      <c r="Z14" s="1"/>
      <c r="AA14" s="1"/>
      <c r="AB14" s="1"/>
    </row>
    <row r="15" spans="1:28" ht="14" x14ac:dyDescent="0.2">
      <c r="A15" s="1"/>
      <c r="B15" s="1" t="s">
        <v>29</v>
      </c>
      <c r="C15" s="1" t="s">
        <v>23</v>
      </c>
      <c r="D15" s="8">
        <v>7</v>
      </c>
      <c r="E15" s="8">
        <f>F14</f>
        <v>8</v>
      </c>
      <c r="F15" s="8">
        <f>F8</f>
        <v>8</v>
      </c>
      <c r="G15" s="8">
        <v>81</v>
      </c>
      <c r="H15" s="8">
        <v>1</v>
      </c>
      <c r="I15" s="8">
        <v>1</v>
      </c>
      <c r="J15" s="9">
        <f>$I15*($D15-1)*$G15*PRODUCT(H8:H14)</f>
        <v>486</v>
      </c>
      <c r="K15" s="9">
        <f>(1-$I15)*($D15-1)*$G15*PRODUCT(H8:H14)</f>
        <v>0</v>
      </c>
      <c r="L15" s="9">
        <f t="shared" si="5"/>
        <v>486</v>
      </c>
      <c r="M15" s="9">
        <f t="shared" si="3"/>
        <v>0</v>
      </c>
      <c r="N15" s="9">
        <f t="shared" si="4"/>
        <v>0</v>
      </c>
      <c r="O15" s="9">
        <f t="shared" si="6"/>
        <v>240000486</v>
      </c>
      <c r="P15" s="3">
        <f t="shared" si="7"/>
        <v>240000000</v>
      </c>
      <c r="Q15" s="8">
        <f t="shared" si="0"/>
        <v>448</v>
      </c>
      <c r="R15" s="8">
        <f t="shared" si="1"/>
        <v>107520000000</v>
      </c>
      <c r="S15" s="8">
        <f t="shared" si="8"/>
        <v>10.752000000000001</v>
      </c>
      <c r="T15" s="1"/>
      <c r="U15" s="1"/>
      <c r="V15" s="1"/>
      <c r="W15" s="1"/>
      <c r="X15" s="1"/>
      <c r="Y15" s="1"/>
      <c r="Z15" s="1"/>
      <c r="AA15" s="1"/>
      <c r="AB15" s="1"/>
    </row>
    <row r="16" spans="1:28" ht="14" x14ac:dyDescent="0.2">
      <c r="A16" s="1"/>
      <c r="B16" s="1" t="s">
        <v>133</v>
      </c>
      <c r="C16" s="1" t="s">
        <v>23</v>
      </c>
      <c r="D16" s="8">
        <v>3</v>
      </c>
      <c r="E16" s="8">
        <f>F15</f>
        <v>8</v>
      </c>
      <c r="F16" s="8">
        <f>F8</f>
        <v>8</v>
      </c>
      <c r="G16" s="8">
        <v>1</v>
      </c>
      <c r="H16" s="8">
        <v>1</v>
      </c>
      <c r="I16" s="8">
        <v>1</v>
      </c>
      <c r="J16" s="9">
        <f>$I16*($D16-1)*$G16*PRODUCT(H8:H15)</f>
        <v>2</v>
      </c>
      <c r="K16" s="9">
        <f>(1-$I16)*($D16-1)*$G16*PRODUCT(H8:H15)</f>
        <v>0</v>
      </c>
      <c r="L16" s="9">
        <f t="shared" si="5"/>
        <v>2</v>
      </c>
      <c r="M16" s="9">
        <f t="shared" si="3"/>
        <v>0</v>
      </c>
      <c r="N16" s="9">
        <f t="shared" si="4"/>
        <v>0</v>
      </c>
      <c r="O16" s="9">
        <f t="shared" si="6"/>
        <v>240000002</v>
      </c>
      <c r="P16" s="3">
        <f t="shared" si="7"/>
        <v>240000000</v>
      </c>
      <c r="Q16" s="8">
        <f t="shared" si="0"/>
        <v>192</v>
      </c>
      <c r="R16" s="8">
        <f t="shared" si="1"/>
        <v>46080000000</v>
      </c>
      <c r="S16" s="8">
        <f t="shared" si="8"/>
        <v>4.6079999999999997</v>
      </c>
      <c r="T16" s="1"/>
      <c r="U16" s="1"/>
      <c r="V16" s="1"/>
      <c r="W16" s="1"/>
      <c r="X16" s="1"/>
      <c r="Y16" s="1"/>
      <c r="Z16" s="1"/>
      <c r="AA16" s="1"/>
      <c r="AB16" s="1"/>
    </row>
    <row r="17" spans="1:28" ht="14" x14ac:dyDescent="0.2">
      <c r="A17" s="1"/>
      <c r="B17" s="1" t="s">
        <v>134</v>
      </c>
      <c r="C17" s="1" t="s">
        <v>30</v>
      </c>
      <c r="D17" s="8">
        <f>2*H17</f>
        <v>4</v>
      </c>
      <c r="E17" s="8">
        <f>F16</f>
        <v>8</v>
      </c>
      <c r="F17" s="8">
        <v>16</v>
      </c>
      <c r="G17" s="8">
        <v>1</v>
      </c>
      <c r="H17" s="8">
        <v>2</v>
      </c>
      <c r="I17" s="8">
        <v>1</v>
      </c>
      <c r="J17" s="9">
        <f>$I17*($D17-1)*$G17*PRODUCT(H8:H16)</f>
        <v>3</v>
      </c>
      <c r="K17" s="9">
        <f>(1-$I17)*($D17-1)*$G17*PRODUCT(H8:H16)</f>
        <v>0</v>
      </c>
      <c r="L17" s="9">
        <f t="shared" si="5"/>
        <v>2</v>
      </c>
      <c r="M17" s="9">
        <f t="shared" si="3"/>
        <v>0</v>
      </c>
      <c r="N17" s="9">
        <f t="shared" si="4"/>
        <v>0</v>
      </c>
      <c r="O17" s="9">
        <f t="shared" si="6"/>
        <v>240000002</v>
      </c>
      <c r="P17" s="3">
        <f t="shared" si="7"/>
        <v>120000000</v>
      </c>
      <c r="Q17" s="8">
        <f t="shared" si="0"/>
        <v>512</v>
      </c>
      <c r="R17" s="8">
        <f t="shared" si="1"/>
        <v>61440000000</v>
      </c>
      <c r="S17" s="8">
        <f t="shared" si="8"/>
        <v>6.1440000000000001</v>
      </c>
      <c r="T17" s="1"/>
      <c r="U17" s="1"/>
      <c r="V17" s="1"/>
      <c r="W17" s="1"/>
      <c r="X17" s="1"/>
      <c r="Y17" s="1"/>
      <c r="Z17" s="1"/>
      <c r="AA17" s="1"/>
      <c r="AB17" s="1"/>
    </row>
    <row r="18" spans="1:28" ht="14" x14ac:dyDescent="0.2">
      <c r="A18" s="1"/>
      <c r="B18" s="11" t="s">
        <v>31</v>
      </c>
      <c r="C18" s="11" t="s">
        <v>32</v>
      </c>
      <c r="D18" s="12">
        <v>7</v>
      </c>
      <c r="E18" s="12">
        <f t="shared" ref="E18:E25" si="9">F17</f>
        <v>16</v>
      </c>
      <c r="F18" s="12">
        <f>F17</f>
        <v>16</v>
      </c>
      <c r="G18" s="12">
        <v>3</v>
      </c>
      <c r="H18" s="12">
        <v>1</v>
      </c>
      <c r="I18" s="12">
        <v>1</v>
      </c>
      <c r="J18" s="13">
        <f>$I18*($D18-1)*$G18*PRODUCT(H8:H17)</f>
        <v>36</v>
      </c>
      <c r="K18" s="13">
        <f>(1-$I18)*($D18-1)*$G18*PRODUCT(H8:H17)</f>
        <v>0</v>
      </c>
      <c r="L18" s="13">
        <f>(($D18-1)*$G18+1-$H18)*$I18</f>
        <v>18</v>
      </c>
      <c r="M18" s="13">
        <f>(($D18-1)*$G18+1-$H18)*(1-$I18)</f>
        <v>0</v>
      </c>
      <c r="N18" s="13">
        <f t="shared" si="4"/>
        <v>0</v>
      </c>
      <c r="O18" s="13">
        <f>P17+L18+M18+N18</f>
        <v>120000018</v>
      </c>
      <c r="P18" s="45">
        <f>(O18-G18*(D18-1)-1)/H18+1</f>
        <v>120000000</v>
      </c>
      <c r="Q18" s="12">
        <f t="shared" si="0"/>
        <v>1792</v>
      </c>
      <c r="R18" s="12">
        <f>P18*D18*E18*F18</f>
        <v>215040000000</v>
      </c>
      <c r="S18" s="12">
        <f>R18/10^6/$C$4</f>
        <v>21.504000000000001</v>
      </c>
      <c r="T18" s="1"/>
      <c r="U18" s="1"/>
      <c r="V18" s="1"/>
      <c r="W18" s="1"/>
      <c r="X18" s="1"/>
      <c r="Y18" s="1"/>
      <c r="Z18" s="1"/>
      <c r="AA18" s="1"/>
      <c r="AB18" s="1"/>
    </row>
    <row r="19" spans="1:28" ht="14" x14ac:dyDescent="0.2">
      <c r="A19" s="1"/>
      <c r="B19" s="11" t="s">
        <v>33</v>
      </c>
      <c r="C19" s="11" t="s">
        <v>32</v>
      </c>
      <c r="D19" s="12">
        <v>3</v>
      </c>
      <c r="E19" s="12">
        <f t="shared" si="9"/>
        <v>16</v>
      </c>
      <c r="F19" s="12">
        <f>F17</f>
        <v>16</v>
      </c>
      <c r="G19" s="12">
        <v>1</v>
      </c>
      <c r="H19" s="12">
        <v>1</v>
      </c>
      <c r="I19" s="12">
        <v>1</v>
      </c>
      <c r="J19" s="13">
        <f>$I19*($D19-1)*$G19*PRODUCT(H8:H18)</f>
        <v>4</v>
      </c>
      <c r="K19" s="13">
        <f>(1-$I19)*($D19-1)*$G19*PRODUCT(H8:H18)</f>
        <v>0</v>
      </c>
      <c r="L19" s="13">
        <f t="shared" ref="L19:L26" si="10">(($D19-1)*$G19+1-$H19)*$I19</f>
        <v>2</v>
      </c>
      <c r="M19" s="13">
        <f t="shared" ref="M19:M26" si="11">(($D19-1)*$G19+1-$H19)*(1-$I19)</f>
        <v>0</v>
      </c>
      <c r="N19" s="13">
        <f t="shared" si="4"/>
        <v>0</v>
      </c>
      <c r="O19" s="13">
        <f t="shared" ref="O19:O47" si="12">P18+L19+M19+N19</f>
        <v>120000002</v>
      </c>
      <c r="P19" s="45">
        <f t="shared" ref="P19:P26" si="13">(O19-G19*(D19-1)-1)/H19+1</f>
        <v>120000000</v>
      </c>
      <c r="Q19" s="12">
        <f t="shared" si="0"/>
        <v>768</v>
      </c>
      <c r="R19" s="12">
        <f t="shared" ref="R19:R47" si="14">P19*D19*E19*F19</f>
        <v>92160000000</v>
      </c>
      <c r="S19" s="12">
        <f>R19/10^6/$C$4</f>
        <v>9.2159999999999993</v>
      </c>
      <c r="T19" s="1"/>
      <c r="U19" s="1"/>
      <c r="V19" s="1"/>
      <c r="W19" s="1"/>
      <c r="X19" s="1"/>
      <c r="Y19" s="1"/>
      <c r="Z19" s="1"/>
      <c r="AA19" s="1"/>
      <c r="AB19" s="1"/>
    </row>
    <row r="20" spans="1:28" ht="14" x14ac:dyDescent="0.2">
      <c r="A20" s="1"/>
      <c r="B20" s="11" t="s">
        <v>34</v>
      </c>
      <c r="C20" s="11" t="s">
        <v>32</v>
      </c>
      <c r="D20" s="12">
        <v>7</v>
      </c>
      <c r="E20" s="12">
        <f t="shared" si="9"/>
        <v>16</v>
      </c>
      <c r="F20" s="12">
        <f>F17</f>
        <v>16</v>
      </c>
      <c r="G20" s="12">
        <v>9</v>
      </c>
      <c r="H20" s="12">
        <v>1</v>
      </c>
      <c r="I20" s="12">
        <v>1</v>
      </c>
      <c r="J20" s="13">
        <f>$I20*($D20-1)*$G20*PRODUCT(H8:H19)</f>
        <v>108</v>
      </c>
      <c r="K20" s="13">
        <f>(1-$I20)*($D20-1)*$G20*PRODUCT(H8:H19)</f>
        <v>0</v>
      </c>
      <c r="L20" s="13">
        <f t="shared" si="10"/>
        <v>54</v>
      </c>
      <c r="M20" s="13">
        <f t="shared" si="11"/>
        <v>0</v>
      </c>
      <c r="N20" s="13">
        <f t="shared" si="4"/>
        <v>0</v>
      </c>
      <c r="O20" s="13">
        <f t="shared" si="12"/>
        <v>120000054</v>
      </c>
      <c r="P20" s="45">
        <f t="shared" si="13"/>
        <v>120000000</v>
      </c>
      <c r="Q20" s="12">
        <f t="shared" si="0"/>
        <v>1792</v>
      </c>
      <c r="R20" s="12">
        <f t="shared" si="14"/>
        <v>215040000000</v>
      </c>
      <c r="S20" s="12">
        <f t="shared" ref="S20:S26" si="15">R20/10^6/$C$4</f>
        <v>21.504000000000001</v>
      </c>
      <c r="T20" s="1"/>
      <c r="U20" s="1"/>
      <c r="V20" s="1"/>
      <c r="W20" s="1"/>
      <c r="X20" s="1"/>
      <c r="Y20" s="1"/>
      <c r="Z20" s="1"/>
      <c r="AA20" s="1"/>
      <c r="AB20" s="1"/>
    </row>
    <row r="21" spans="1:28" ht="14" x14ac:dyDescent="0.2">
      <c r="A21" s="1"/>
      <c r="B21" s="11" t="s">
        <v>35</v>
      </c>
      <c r="C21" s="11" t="s">
        <v>32</v>
      </c>
      <c r="D21" s="12">
        <v>3</v>
      </c>
      <c r="E21" s="12">
        <f t="shared" si="9"/>
        <v>16</v>
      </c>
      <c r="F21" s="12">
        <f>F17</f>
        <v>16</v>
      </c>
      <c r="G21" s="12">
        <v>1</v>
      </c>
      <c r="H21" s="12">
        <v>1</v>
      </c>
      <c r="I21" s="12">
        <v>1</v>
      </c>
      <c r="J21" s="13">
        <f>$I21*($D21-1)*$G21*PRODUCT(H8:H20)</f>
        <v>4</v>
      </c>
      <c r="K21" s="13">
        <f>(1-$I21)*($D21-1)*$G21*PRODUCT(H8:H20)</f>
        <v>0</v>
      </c>
      <c r="L21" s="13">
        <f t="shared" si="10"/>
        <v>2</v>
      </c>
      <c r="M21" s="13">
        <f t="shared" si="11"/>
        <v>0</v>
      </c>
      <c r="N21" s="13">
        <f t="shared" si="4"/>
        <v>0</v>
      </c>
      <c r="O21" s="13">
        <f t="shared" si="12"/>
        <v>120000002</v>
      </c>
      <c r="P21" s="45">
        <f t="shared" si="13"/>
        <v>120000000</v>
      </c>
      <c r="Q21" s="12">
        <f t="shared" si="0"/>
        <v>768</v>
      </c>
      <c r="R21" s="12">
        <f t="shared" si="14"/>
        <v>92160000000</v>
      </c>
      <c r="S21" s="12">
        <f t="shared" si="15"/>
        <v>9.2159999999999993</v>
      </c>
      <c r="T21" s="1"/>
      <c r="U21" s="1"/>
      <c r="V21" s="1"/>
      <c r="W21" s="1"/>
      <c r="X21" s="1"/>
      <c r="Y21" s="1"/>
      <c r="Z21" s="1"/>
      <c r="AA21" s="1"/>
      <c r="AB21" s="1"/>
    </row>
    <row r="22" spans="1:28" ht="14" x14ac:dyDescent="0.2">
      <c r="A22" s="1"/>
      <c r="B22" s="11" t="s">
        <v>36</v>
      </c>
      <c r="C22" s="11" t="s">
        <v>32</v>
      </c>
      <c r="D22" s="12">
        <v>7</v>
      </c>
      <c r="E22" s="12">
        <f t="shared" si="9"/>
        <v>16</v>
      </c>
      <c r="F22" s="12">
        <f>F17</f>
        <v>16</v>
      </c>
      <c r="G22" s="12">
        <v>27</v>
      </c>
      <c r="H22" s="12">
        <v>1</v>
      </c>
      <c r="I22" s="12">
        <v>1</v>
      </c>
      <c r="J22" s="13">
        <f>$I22*($D22-1)*$G22*PRODUCT(H8:H21)</f>
        <v>324</v>
      </c>
      <c r="K22" s="13">
        <f>(1-$I22)*($D22-1)*$G22*PRODUCT(H8:H21)</f>
        <v>0</v>
      </c>
      <c r="L22" s="13">
        <f t="shared" si="10"/>
        <v>162</v>
      </c>
      <c r="M22" s="13">
        <f t="shared" si="11"/>
        <v>0</v>
      </c>
      <c r="N22" s="13">
        <f t="shared" si="4"/>
        <v>0</v>
      </c>
      <c r="O22" s="13">
        <f t="shared" si="12"/>
        <v>120000162</v>
      </c>
      <c r="P22" s="45">
        <f t="shared" si="13"/>
        <v>120000000</v>
      </c>
      <c r="Q22" s="12">
        <f t="shared" si="0"/>
        <v>1792</v>
      </c>
      <c r="R22" s="12">
        <f t="shared" si="14"/>
        <v>215040000000</v>
      </c>
      <c r="S22" s="12">
        <f t="shared" si="15"/>
        <v>21.504000000000001</v>
      </c>
      <c r="T22" s="1"/>
      <c r="U22" s="1"/>
      <c r="V22" s="1"/>
      <c r="W22" s="1"/>
      <c r="X22" s="1"/>
      <c r="Y22" s="1"/>
      <c r="Z22" s="1"/>
      <c r="AA22" s="1"/>
      <c r="AB22" s="1"/>
    </row>
    <row r="23" spans="1:28" ht="14" x14ac:dyDescent="0.2">
      <c r="A23" s="1"/>
      <c r="B23" s="11" t="s">
        <v>37</v>
      </c>
      <c r="C23" s="11" t="s">
        <v>32</v>
      </c>
      <c r="D23" s="12">
        <v>3</v>
      </c>
      <c r="E23" s="12">
        <f t="shared" si="9"/>
        <v>16</v>
      </c>
      <c r="F23" s="12">
        <f>F17</f>
        <v>16</v>
      </c>
      <c r="G23" s="12">
        <v>1</v>
      </c>
      <c r="H23" s="12">
        <v>1</v>
      </c>
      <c r="I23" s="12">
        <v>1</v>
      </c>
      <c r="J23" s="13">
        <f>$I23*($D23-1)*$G23*PRODUCT(H8:H22)</f>
        <v>4</v>
      </c>
      <c r="K23" s="13">
        <f>(1-$I23)*($D23-1)*$G23*PRODUCT(H8:H22)</f>
        <v>0</v>
      </c>
      <c r="L23" s="13">
        <f t="shared" si="10"/>
        <v>2</v>
      </c>
      <c r="M23" s="13">
        <f t="shared" si="11"/>
        <v>0</v>
      </c>
      <c r="N23" s="13">
        <f t="shared" si="4"/>
        <v>0</v>
      </c>
      <c r="O23" s="13">
        <f t="shared" si="12"/>
        <v>120000002</v>
      </c>
      <c r="P23" s="45">
        <f t="shared" si="13"/>
        <v>120000000</v>
      </c>
      <c r="Q23" s="12">
        <f t="shared" si="0"/>
        <v>768</v>
      </c>
      <c r="R23" s="12">
        <f t="shared" si="14"/>
        <v>92160000000</v>
      </c>
      <c r="S23" s="12">
        <f t="shared" si="15"/>
        <v>9.2159999999999993</v>
      </c>
      <c r="T23" s="1"/>
      <c r="U23" s="1"/>
      <c r="V23" s="1"/>
      <c r="W23" s="1"/>
      <c r="X23" s="1"/>
      <c r="Y23" s="1"/>
      <c r="Z23" s="1"/>
      <c r="AA23" s="1"/>
      <c r="AB23" s="1"/>
    </row>
    <row r="24" spans="1:28" ht="14" x14ac:dyDescent="0.2">
      <c r="A24" s="1"/>
      <c r="B24" s="11" t="s">
        <v>38</v>
      </c>
      <c r="C24" s="11" t="s">
        <v>32</v>
      </c>
      <c r="D24" s="12">
        <v>5</v>
      </c>
      <c r="E24" s="12">
        <f t="shared" si="9"/>
        <v>16</v>
      </c>
      <c r="F24" s="12">
        <f>F17</f>
        <v>16</v>
      </c>
      <c r="G24" s="12">
        <v>81</v>
      </c>
      <c r="H24" s="12">
        <v>1</v>
      </c>
      <c r="I24" s="12">
        <v>1</v>
      </c>
      <c r="J24" s="13">
        <f>$I24*($D24-1)*$G24*PRODUCT(H8:H23)</f>
        <v>648</v>
      </c>
      <c r="K24" s="13">
        <f>(1-$I24)*($D24-1)*$G24*PRODUCT(H8:H23)</f>
        <v>0</v>
      </c>
      <c r="L24" s="13">
        <f t="shared" si="10"/>
        <v>324</v>
      </c>
      <c r="M24" s="13">
        <f t="shared" si="11"/>
        <v>0</v>
      </c>
      <c r="N24" s="13">
        <f t="shared" si="4"/>
        <v>0</v>
      </c>
      <c r="O24" s="13">
        <f t="shared" si="12"/>
        <v>120000324</v>
      </c>
      <c r="P24" s="45">
        <f t="shared" si="13"/>
        <v>120000000</v>
      </c>
      <c r="Q24" s="12">
        <f t="shared" si="0"/>
        <v>1280</v>
      </c>
      <c r="R24" s="12">
        <f t="shared" si="14"/>
        <v>153600000000</v>
      </c>
      <c r="S24" s="12">
        <f t="shared" si="15"/>
        <v>15.36</v>
      </c>
      <c r="T24" s="1"/>
      <c r="U24" s="1"/>
      <c r="V24" s="1"/>
      <c r="W24" s="1"/>
      <c r="X24" s="1"/>
      <c r="Y24" s="1"/>
      <c r="Z24" s="1"/>
      <c r="AA24" s="1"/>
      <c r="AB24" s="1"/>
    </row>
    <row r="25" spans="1:28" ht="14" x14ac:dyDescent="0.2">
      <c r="A25" s="1"/>
      <c r="B25" s="11" t="s">
        <v>135</v>
      </c>
      <c r="C25" s="11" t="s">
        <v>32</v>
      </c>
      <c r="D25" s="12">
        <v>3</v>
      </c>
      <c r="E25" s="12">
        <f t="shared" si="9"/>
        <v>16</v>
      </c>
      <c r="F25" s="12">
        <f>F17</f>
        <v>16</v>
      </c>
      <c r="G25" s="12">
        <v>1</v>
      </c>
      <c r="H25" s="12">
        <v>1</v>
      </c>
      <c r="I25" s="12">
        <v>1</v>
      </c>
      <c r="J25" s="13">
        <f>$I25*($D25-1)*$G25*PRODUCT(H8:H24)</f>
        <v>4</v>
      </c>
      <c r="K25" s="13">
        <f>(1-$I25)*($D25-1)*$G25*PRODUCT(H8:H24)</f>
        <v>0</v>
      </c>
      <c r="L25" s="13">
        <f t="shared" si="10"/>
        <v>2</v>
      </c>
      <c r="M25" s="13">
        <f t="shared" si="11"/>
        <v>0</v>
      </c>
      <c r="N25" s="13">
        <f t="shared" si="4"/>
        <v>0</v>
      </c>
      <c r="O25" s="13">
        <f t="shared" si="12"/>
        <v>120000002</v>
      </c>
      <c r="P25" s="45">
        <f t="shared" si="13"/>
        <v>120000000</v>
      </c>
      <c r="Q25" s="12">
        <f t="shared" si="0"/>
        <v>768</v>
      </c>
      <c r="R25" s="12">
        <f t="shared" si="14"/>
        <v>92160000000</v>
      </c>
      <c r="S25" s="12">
        <f t="shared" si="15"/>
        <v>9.2159999999999993</v>
      </c>
      <c r="T25" s="1"/>
      <c r="U25" s="1"/>
      <c r="V25" s="1"/>
      <c r="W25" s="1"/>
      <c r="X25" s="1"/>
      <c r="Y25" s="1"/>
      <c r="Z25" s="1"/>
      <c r="AA25" s="1"/>
      <c r="AB25" s="1"/>
    </row>
    <row r="26" spans="1:28" ht="14" x14ac:dyDescent="0.2">
      <c r="A26" s="1"/>
      <c r="B26" s="11" t="s">
        <v>136</v>
      </c>
      <c r="C26" s="11" t="s">
        <v>39</v>
      </c>
      <c r="D26" s="12">
        <f>2*H26</f>
        <v>4</v>
      </c>
      <c r="E26" s="12">
        <f>F25</f>
        <v>16</v>
      </c>
      <c r="F26" s="12">
        <v>32</v>
      </c>
      <c r="G26" s="12">
        <v>1</v>
      </c>
      <c r="H26" s="12">
        <v>2</v>
      </c>
      <c r="I26" s="12">
        <v>1</v>
      </c>
      <c r="J26" s="13">
        <f>$I26*($D26-1)*$G26*PRODUCT(H8:H25)</f>
        <v>6</v>
      </c>
      <c r="K26" s="13">
        <f>(1-$I26)*($D26-1)*$G26*PRODUCT(H8:H25)</f>
        <v>0</v>
      </c>
      <c r="L26" s="13">
        <f t="shared" si="10"/>
        <v>2</v>
      </c>
      <c r="M26" s="13">
        <f t="shared" si="11"/>
        <v>0</v>
      </c>
      <c r="N26" s="13">
        <f t="shared" si="4"/>
        <v>0</v>
      </c>
      <c r="O26" s="13">
        <f t="shared" si="12"/>
        <v>120000002</v>
      </c>
      <c r="P26" s="45">
        <f t="shared" si="13"/>
        <v>60000000</v>
      </c>
      <c r="Q26" s="12">
        <f t="shared" si="0"/>
        <v>2048</v>
      </c>
      <c r="R26" s="12">
        <f t="shared" si="14"/>
        <v>122880000000</v>
      </c>
      <c r="S26" s="12">
        <f t="shared" si="15"/>
        <v>12.288</v>
      </c>
      <c r="T26" s="1"/>
      <c r="U26" s="1"/>
      <c r="V26" s="1"/>
      <c r="W26" s="1"/>
      <c r="X26" s="1"/>
      <c r="Y26" s="1"/>
      <c r="Z26" s="1"/>
      <c r="AA26" s="1"/>
      <c r="AB26" s="1"/>
    </row>
    <row r="27" spans="1:28" ht="14" x14ac:dyDescent="0.2">
      <c r="A27" s="1"/>
      <c r="B27" s="1" t="s">
        <v>40</v>
      </c>
      <c r="C27" s="1" t="s">
        <v>41</v>
      </c>
      <c r="D27" s="8">
        <v>7</v>
      </c>
      <c r="E27" s="8">
        <f t="shared" ref="E27:E47" si="16">F26</f>
        <v>32</v>
      </c>
      <c r="F27" s="8">
        <f>F26</f>
        <v>32</v>
      </c>
      <c r="G27" s="8">
        <v>3</v>
      </c>
      <c r="H27" s="8">
        <v>1</v>
      </c>
      <c r="I27" s="8">
        <v>1</v>
      </c>
      <c r="J27" s="9">
        <f>$I27*($D27-1)*$G27*PRODUCT(H8:H26)</f>
        <v>72</v>
      </c>
      <c r="K27" s="9">
        <f>(1-$I27)*($D27-1)*$G27*PRODUCT(H8:H26)</f>
        <v>0</v>
      </c>
      <c r="L27" s="9">
        <f>(($D27-1)*$G27+1-$H27)*$I27</f>
        <v>18</v>
      </c>
      <c r="M27" s="9">
        <f>(($D27-1)*$G27+1-$H27)*(1-$I27)</f>
        <v>0</v>
      </c>
      <c r="N27" s="9">
        <f t="shared" si="4"/>
        <v>0</v>
      </c>
      <c r="O27" s="9">
        <f t="shared" si="12"/>
        <v>60000018</v>
      </c>
      <c r="P27" s="3">
        <f>(O27-G27*(D27-1)-1)/H27+1</f>
        <v>60000000</v>
      </c>
      <c r="Q27" s="8">
        <f t="shared" si="0"/>
        <v>7168</v>
      </c>
      <c r="R27" s="8">
        <f t="shared" si="14"/>
        <v>430080000000</v>
      </c>
      <c r="S27" s="8">
        <f>R27/10^6/$C$4</f>
        <v>43.008000000000003</v>
      </c>
      <c r="T27" s="1"/>
      <c r="U27" s="1"/>
      <c r="V27" s="1"/>
      <c r="W27" s="1"/>
      <c r="X27" s="1"/>
      <c r="Y27" s="1"/>
      <c r="Z27" s="1"/>
      <c r="AA27" s="1"/>
      <c r="AB27" s="1"/>
    </row>
    <row r="28" spans="1:28" ht="14" x14ac:dyDescent="0.2">
      <c r="A28" s="1"/>
      <c r="B28" s="1" t="s">
        <v>42</v>
      </c>
      <c r="C28" s="1" t="s">
        <v>41</v>
      </c>
      <c r="D28" s="8">
        <v>3</v>
      </c>
      <c r="E28" s="8">
        <f t="shared" si="16"/>
        <v>32</v>
      </c>
      <c r="F28" s="8">
        <f>F26</f>
        <v>32</v>
      </c>
      <c r="G28" s="8">
        <v>1</v>
      </c>
      <c r="H28" s="8">
        <v>1</v>
      </c>
      <c r="I28" s="8">
        <v>1</v>
      </c>
      <c r="J28" s="9">
        <f>$I28*($D28-1)*$G28*PRODUCT(H8:H27)</f>
        <v>8</v>
      </c>
      <c r="K28" s="9">
        <f>(1-$I28)*($D28-1)*$G28*PRODUCT(H8:H27)</f>
        <v>0</v>
      </c>
      <c r="L28" s="9">
        <f t="shared" ref="L28:L33" si="17">(($D28-1)*$G28+1-$H28)*$I28</f>
        <v>2</v>
      </c>
      <c r="M28" s="9">
        <f t="shared" ref="M28:M33" si="18">(($D28-1)*$G28+1-$H28)*(1-$I28)</f>
        <v>0</v>
      </c>
      <c r="N28" s="9">
        <f t="shared" si="4"/>
        <v>0</v>
      </c>
      <c r="O28" s="9">
        <f t="shared" si="12"/>
        <v>60000002</v>
      </c>
      <c r="P28" s="3">
        <f t="shared" ref="P28:P40" si="19">(O28-G28*(D28-1)-1)/H28+1</f>
        <v>60000000</v>
      </c>
      <c r="Q28" s="8">
        <f t="shared" si="0"/>
        <v>3072</v>
      </c>
      <c r="R28" s="8">
        <f t="shared" si="14"/>
        <v>184320000000</v>
      </c>
      <c r="S28" s="8">
        <f>R28/10^6/$C$4</f>
        <v>18.431999999999999</v>
      </c>
      <c r="T28" s="1"/>
      <c r="U28" s="1"/>
      <c r="V28" s="1"/>
      <c r="W28" s="1"/>
      <c r="X28" s="1"/>
      <c r="Y28" s="1"/>
      <c r="Z28" s="1"/>
      <c r="AA28" s="1"/>
      <c r="AB28" s="1"/>
    </row>
    <row r="29" spans="1:28" ht="14" x14ac:dyDescent="0.2">
      <c r="A29" s="1"/>
      <c r="B29" s="1" t="s">
        <v>43</v>
      </c>
      <c r="C29" s="1" t="s">
        <v>41</v>
      </c>
      <c r="D29" s="8">
        <v>7</v>
      </c>
      <c r="E29" s="8">
        <f t="shared" si="16"/>
        <v>32</v>
      </c>
      <c r="F29" s="8">
        <f>F26</f>
        <v>32</v>
      </c>
      <c r="G29" s="8">
        <v>9</v>
      </c>
      <c r="H29" s="8">
        <v>1</v>
      </c>
      <c r="I29" s="8">
        <v>1</v>
      </c>
      <c r="J29" s="9">
        <f>$I29*($D29-1)*$G29*PRODUCT(H8:H28)</f>
        <v>216</v>
      </c>
      <c r="K29" s="9">
        <f>(1-$I29)*($D29-1)*$G29*PRODUCT(H8:H28)</f>
        <v>0</v>
      </c>
      <c r="L29" s="9">
        <f t="shared" si="17"/>
        <v>54</v>
      </c>
      <c r="M29" s="9">
        <f t="shared" si="18"/>
        <v>0</v>
      </c>
      <c r="N29" s="9">
        <f t="shared" si="4"/>
        <v>0</v>
      </c>
      <c r="O29" s="9">
        <f t="shared" si="12"/>
        <v>60000054</v>
      </c>
      <c r="P29" s="3">
        <f t="shared" si="19"/>
        <v>60000000</v>
      </c>
      <c r="Q29" s="8">
        <f t="shared" si="0"/>
        <v>7168</v>
      </c>
      <c r="R29" s="8">
        <f t="shared" si="14"/>
        <v>430080000000</v>
      </c>
      <c r="S29" s="8">
        <f t="shared" ref="S29:S33" si="20">R29/10^6/$C$4</f>
        <v>43.008000000000003</v>
      </c>
      <c r="T29" s="1"/>
      <c r="U29" s="1"/>
      <c r="V29" s="1"/>
      <c r="W29" s="1"/>
      <c r="X29" s="1"/>
      <c r="Y29" s="1"/>
      <c r="Z29" s="1"/>
      <c r="AA29" s="1"/>
      <c r="AB29" s="1"/>
    </row>
    <row r="30" spans="1:28" ht="14" x14ac:dyDescent="0.2">
      <c r="A30" s="1"/>
      <c r="B30" s="1" t="s">
        <v>44</v>
      </c>
      <c r="C30" s="1" t="s">
        <v>41</v>
      </c>
      <c r="D30" s="8">
        <v>3</v>
      </c>
      <c r="E30" s="8">
        <f t="shared" si="16"/>
        <v>32</v>
      </c>
      <c r="F30" s="8">
        <f>F26</f>
        <v>32</v>
      </c>
      <c r="G30" s="8">
        <v>1</v>
      </c>
      <c r="H30" s="8">
        <v>1</v>
      </c>
      <c r="I30" s="8">
        <v>1</v>
      </c>
      <c r="J30" s="9">
        <f>$I30*($D30-1)*$G30*PRODUCT(H8:H29)</f>
        <v>8</v>
      </c>
      <c r="K30" s="9">
        <f>(1-$I30)*($D30-1)*$G30*PRODUCT(H8:H29)</f>
        <v>0</v>
      </c>
      <c r="L30" s="9">
        <f t="shared" si="17"/>
        <v>2</v>
      </c>
      <c r="M30" s="9">
        <f t="shared" si="18"/>
        <v>0</v>
      </c>
      <c r="N30" s="9">
        <f t="shared" si="4"/>
        <v>0</v>
      </c>
      <c r="O30" s="9">
        <f t="shared" si="12"/>
        <v>60000002</v>
      </c>
      <c r="P30" s="3">
        <f t="shared" si="19"/>
        <v>60000000</v>
      </c>
      <c r="Q30" s="8">
        <f t="shared" si="0"/>
        <v>3072</v>
      </c>
      <c r="R30" s="8">
        <f t="shared" si="14"/>
        <v>184320000000</v>
      </c>
      <c r="S30" s="8">
        <f t="shared" si="20"/>
        <v>18.431999999999999</v>
      </c>
      <c r="T30" s="1"/>
      <c r="U30" s="1"/>
      <c r="V30" s="1"/>
      <c r="W30" s="1"/>
      <c r="X30" s="1"/>
      <c r="Y30" s="1"/>
      <c r="Z30" s="1"/>
      <c r="AA30" s="1"/>
      <c r="AB30" s="1"/>
    </row>
    <row r="31" spans="1:28" ht="14" x14ac:dyDescent="0.2">
      <c r="A31" s="1"/>
      <c r="B31" s="1" t="s">
        <v>45</v>
      </c>
      <c r="C31" s="1" t="s">
        <v>41</v>
      </c>
      <c r="D31" s="8">
        <v>7</v>
      </c>
      <c r="E31" s="8">
        <f t="shared" si="16"/>
        <v>32</v>
      </c>
      <c r="F31" s="8">
        <f>F26</f>
        <v>32</v>
      </c>
      <c r="G31" s="8">
        <v>27</v>
      </c>
      <c r="H31" s="8">
        <v>1</v>
      </c>
      <c r="I31" s="8">
        <v>1</v>
      </c>
      <c r="J31" s="9">
        <f>$I31*($D31-1)*$G31*PRODUCT(H8:H30)</f>
        <v>648</v>
      </c>
      <c r="K31" s="9">
        <f>(1-$I31)*($D31-1)*$G31*PRODUCT(H8:H30)</f>
        <v>0</v>
      </c>
      <c r="L31" s="9">
        <f t="shared" si="17"/>
        <v>162</v>
      </c>
      <c r="M31" s="9">
        <f t="shared" si="18"/>
        <v>0</v>
      </c>
      <c r="N31" s="9">
        <f t="shared" si="4"/>
        <v>0</v>
      </c>
      <c r="O31" s="9">
        <f t="shared" si="12"/>
        <v>60000162</v>
      </c>
      <c r="P31" s="3">
        <f t="shared" si="19"/>
        <v>60000000</v>
      </c>
      <c r="Q31" s="8">
        <f t="shared" si="0"/>
        <v>7168</v>
      </c>
      <c r="R31" s="8">
        <f t="shared" si="14"/>
        <v>430080000000</v>
      </c>
      <c r="S31" s="8">
        <f t="shared" si="20"/>
        <v>43.008000000000003</v>
      </c>
      <c r="T31" s="1"/>
      <c r="U31" s="1"/>
      <c r="V31" s="1"/>
      <c r="W31" s="1"/>
      <c r="X31" s="1"/>
      <c r="Y31" s="1"/>
      <c r="Z31" s="1"/>
      <c r="AA31" s="1"/>
      <c r="AB31" s="1"/>
    </row>
    <row r="32" spans="1:28" ht="14" x14ac:dyDescent="0.2">
      <c r="A32" s="1"/>
      <c r="B32" s="1" t="s">
        <v>46</v>
      </c>
      <c r="C32" s="1" t="s">
        <v>41</v>
      </c>
      <c r="D32" s="8">
        <v>3</v>
      </c>
      <c r="E32" s="8">
        <f t="shared" si="16"/>
        <v>32</v>
      </c>
      <c r="F32" s="8">
        <f>F26</f>
        <v>32</v>
      </c>
      <c r="G32" s="8">
        <v>1</v>
      </c>
      <c r="H32" s="8">
        <v>1</v>
      </c>
      <c r="I32" s="8">
        <v>1</v>
      </c>
      <c r="J32" s="9">
        <f>$I32*($D32-1)*$G32*PRODUCT(H8:H31)</f>
        <v>8</v>
      </c>
      <c r="K32" s="9">
        <f>(1-$I32)*($D32-1)*$G32*PRODUCT(H8:H31)</f>
        <v>0</v>
      </c>
      <c r="L32" s="9">
        <f t="shared" si="17"/>
        <v>2</v>
      </c>
      <c r="M32" s="9">
        <f t="shared" si="18"/>
        <v>0</v>
      </c>
      <c r="N32" s="9">
        <f t="shared" si="4"/>
        <v>0</v>
      </c>
      <c r="O32" s="9">
        <f t="shared" si="12"/>
        <v>60000002</v>
      </c>
      <c r="P32" s="3">
        <f t="shared" si="19"/>
        <v>60000000</v>
      </c>
      <c r="Q32" s="8">
        <f t="shared" si="0"/>
        <v>3072</v>
      </c>
      <c r="R32" s="8">
        <f t="shared" si="14"/>
        <v>184320000000</v>
      </c>
      <c r="S32" s="8">
        <f t="shared" si="20"/>
        <v>18.431999999999999</v>
      </c>
      <c r="T32" s="1"/>
      <c r="U32" s="1"/>
      <c r="V32" s="1"/>
      <c r="W32" s="1"/>
      <c r="X32" s="1"/>
      <c r="Y32" s="1"/>
      <c r="Z32" s="1"/>
      <c r="AA32" s="1"/>
      <c r="AB32" s="1"/>
    </row>
    <row r="33" spans="1:28" ht="14" x14ac:dyDescent="0.2">
      <c r="A33" s="1"/>
      <c r="B33" s="1" t="s">
        <v>47</v>
      </c>
      <c r="C33" s="1" t="s">
        <v>48</v>
      </c>
      <c r="D33" s="8">
        <f>2*H33</f>
        <v>6</v>
      </c>
      <c r="E33" s="8">
        <f t="shared" si="16"/>
        <v>32</v>
      </c>
      <c r="F33" s="8">
        <v>64</v>
      </c>
      <c r="G33" s="8">
        <v>1</v>
      </c>
      <c r="H33" s="8">
        <v>3</v>
      </c>
      <c r="I33" s="8">
        <v>1</v>
      </c>
      <c r="J33" s="9">
        <f>$I33*($D33-1)*$G33*PRODUCT(H8:H32)</f>
        <v>20</v>
      </c>
      <c r="K33" s="9">
        <f>(1-$I33)*($D33-1)*$G33*PRODUCT(H8:H32)</f>
        <v>0</v>
      </c>
      <c r="L33" s="9">
        <f t="shared" si="17"/>
        <v>3</v>
      </c>
      <c r="M33" s="9">
        <f t="shared" si="18"/>
        <v>0</v>
      </c>
      <c r="N33" s="9">
        <f t="shared" si="4"/>
        <v>0</v>
      </c>
      <c r="O33" s="9">
        <f t="shared" si="12"/>
        <v>60000003</v>
      </c>
      <c r="P33" s="3">
        <f t="shared" si="19"/>
        <v>20000000</v>
      </c>
      <c r="Q33" s="8">
        <f t="shared" si="0"/>
        <v>12288</v>
      </c>
      <c r="R33" s="8">
        <f t="shared" si="14"/>
        <v>245760000000</v>
      </c>
      <c r="S33" s="8">
        <f t="shared" si="20"/>
        <v>24.576000000000001</v>
      </c>
      <c r="T33" s="1"/>
      <c r="U33" s="1"/>
      <c r="V33" s="1"/>
      <c r="W33" s="1"/>
      <c r="X33" s="1"/>
      <c r="Y33" s="1"/>
      <c r="Z33" s="1"/>
      <c r="AA33" s="1"/>
      <c r="AB33" s="1"/>
    </row>
    <row r="34" spans="1:28" ht="14" x14ac:dyDescent="0.2">
      <c r="A34" s="1"/>
      <c r="B34" s="11" t="s">
        <v>49</v>
      </c>
      <c r="C34" s="11" t="s">
        <v>50</v>
      </c>
      <c r="D34" s="12">
        <v>7</v>
      </c>
      <c r="E34" s="12">
        <f t="shared" si="16"/>
        <v>64</v>
      </c>
      <c r="F34" s="12">
        <f>F33</f>
        <v>64</v>
      </c>
      <c r="G34" s="12">
        <v>3</v>
      </c>
      <c r="H34" s="12">
        <v>1</v>
      </c>
      <c r="I34" s="12">
        <v>0.5</v>
      </c>
      <c r="J34" s="13">
        <f>$I34*($D34-1)*$G34*PRODUCT(H8:H33)</f>
        <v>108</v>
      </c>
      <c r="K34" s="13">
        <f>(1-$I34)*($D34-1)*$G34*PRODUCT(H8:H33)</f>
        <v>108</v>
      </c>
      <c r="L34" s="13">
        <f>(($D34-1)*$G34+1-$H34)*$I34</f>
        <v>9</v>
      </c>
      <c r="M34" s="13">
        <f>(($D34-1)*$G34+1-$H34)*(1-$I34)</f>
        <v>9</v>
      </c>
      <c r="N34" s="13">
        <f t="shared" si="4"/>
        <v>0</v>
      </c>
      <c r="O34" s="13">
        <f t="shared" si="12"/>
        <v>20000018</v>
      </c>
      <c r="P34" s="45">
        <f t="shared" si="19"/>
        <v>20000000</v>
      </c>
      <c r="Q34" s="12">
        <f t="shared" si="0"/>
        <v>28672</v>
      </c>
      <c r="R34" s="12">
        <f t="shared" si="14"/>
        <v>573440000000</v>
      </c>
      <c r="S34" s="12">
        <f>R34/10^6/$C$4</f>
        <v>57.344000000000001</v>
      </c>
      <c r="T34" s="1"/>
      <c r="U34" s="1"/>
      <c r="V34" s="1"/>
      <c r="W34" s="1"/>
      <c r="X34" s="1"/>
      <c r="Y34" s="1"/>
      <c r="Z34" s="1"/>
      <c r="AA34" s="1"/>
      <c r="AB34" s="1"/>
    </row>
    <row r="35" spans="1:28" ht="14" x14ac:dyDescent="0.2">
      <c r="A35" s="1"/>
      <c r="B35" s="11" t="s">
        <v>51</v>
      </c>
      <c r="C35" s="11" t="s">
        <v>50</v>
      </c>
      <c r="D35" s="12">
        <v>3</v>
      </c>
      <c r="E35" s="12">
        <f t="shared" si="16"/>
        <v>64</v>
      </c>
      <c r="F35" s="12">
        <f>F33</f>
        <v>64</v>
      </c>
      <c r="G35" s="12">
        <v>1</v>
      </c>
      <c r="H35" s="12">
        <v>1</v>
      </c>
      <c r="I35" s="12">
        <v>1</v>
      </c>
      <c r="J35" s="13">
        <f>$I35*($D35-1)*$G35*PRODUCT(H8:H34)</f>
        <v>24</v>
      </c>
      <c r="K35" s="13">
        <f>(1-$I35)*($D35-1)*$G35*PRODUCT(H8:H34)</f>
        <v>0</v>
      </c>
      <c r="L35" s="13">
        <f t="shared" ref="L35:L40" si="21">(($D35-1)*$G35+1-$H35)*$I35</f>
        <v>2</v>
      </c>
      <c r="M35" s="13">
        <f t="shared" ref="M35:M40" si="22">(($D35-1)*$G35+1-$H35)*(1-$I35)</f>
        <v>0</v>
      </c>
      <c r="N35" s="13">
        <f t="shared" si="4"/>
        <v>0</v>
      </c>
      <c r="O35" s="13">
        <f t="shared" si="12"/>
        <v>20000002</v>
      </c>
      <c r="P35" s="45">
        <f t="shared" si="19"/>
        <v>20000000</v>
      </c>
      <c r="Q35" s="12">
        <f t="shared" si="0"/>
        <v>12288</v>
      </c>
      <c r="R35" s="12">
        <f t="shared" si="14"/>
        <v>245760000000</v>
      </c>
      <c r="S35" s="12">
        <f>R35/10^6/$C$4</f>
        <v>24.576000000000001</v>
      </c>
      <c r="T35" s="1"/>
      <c r="U35" s="1"/>
      <c r="V35" s="1"/>
      <c r="W35" s="1"/>
      <c r="X35" s="1"/>
      <c r="Y35" s="1"/>
      <c r="Z35" s="1"/>
      <c r="AA35" s="1"/>
      <c r="AB35" s="1"/>
    </row>
    <row r="36" spans="1:28" ht="14" x14ac:dyDescent="0.2">
      <c r="A36" s="1"/>
      <c r="B36" s="11" t="s">
        <v>52</v>
      </c>
      <c r="C36" s="11" t="s">
        <v>50</v>
      </c>
      <c r="D36" s="12">
        <v>7</v>
      </c>
      <c r="E36" s="12">
        <f t="shared" si="16"/>
        <v>64</v>
      </c>
      <c r="F36" s="12">
        <f>F33</f>
        <v>64</v>
      </c>
      <c r="G36" s="12">
        <v>9</v>
      </c>
      <c r="H36" s="12">
        <v>1</v>
      </c>
      <c r="I36" s="12">
        <v>0.5</v>
      </c>
      <c r="J36" s="13">
        <f>$I36*($D36-1)*$G36*PRODUCT(H8:H35)</f>
        <v>324</v>
      </c>
      <c r="K36" s="13">
        <f>(1-$I36)*($D36-1)*$G36*PRODUCT(H8:H35)</f>
        <v>324</v>
      </c>
      <c r="L36" s="13">
        <f t="shared" si="21"/>
        <v>27</v>
      </c>
      <c r="M36" s="13">
        <f t="shared" si="22"/>
        <v>27</v>
      </c>
      <c r="N36" s="13">
        <f t="shared" si="4"/>
        <v>0</v>
      </c>
      <c r="O36" s="13">
        <f t="shared" si="12"/>
        <v>20000054</v>
      </c>
      <c r="P36" s="45">
        <f t="shared" si="19"/>
        <v>20000000</v>
      </c>
      <c r="Q36" s="12">
        <f t="shared" si="0"/>
        <v>28672</v>
      </c>
      <c r="R36" s="12">
        <f t="shared" si="14"/>
        <v>573440000000</v>
      </c>
      <c r="S36" s="12">
        <f t="shared" ref="S36:S40" si="23">R36/10^6/$C$4</f>
        <v>57.344000000000001</v>
      </c>
      <c r="T36" s="1"/>
      <c r="U36" s="1"/>
      <c r="V36" s="1"/>
      <c r="W36" s="1"/>
      <c r="X36" s="1"/>
      <c r="Y36" s="1"/>
      <c r="Z36" s="1"/>
      <c r="AA36" s="1"/>
      <c r="AB36" s="1"/>
    </row>
    <row r="37" spans="1:28" ht="14" x14ac:dyDescent="0.2">
      <c r="A37" s="1"/>
      <c r="B37" s="11" t="s">
        <v>53</v>
      </c>
      <c r="C37" s="11" t="s">
        <v>50</v>
      </c>
      <c r="D37" s="12">
        <v>3</v>
      </c>
      <c r="E37" s="12">
        <f t="shared" si="16"/>
        <v>64</v>
      </c>
      <c r="F37" s="12">
        <f>F33</f>
        <v>64</v>
      </c>
      <c r="G37" s="12">
        <v>1</v>
      </c>
      <c r="H37" s="12">
        <v>1</v>
      </c>
      <c r="I37" s="12">
        <v>1</v>
      </c>
      <c r="J37" s="13">
        <f>$I37*($D37-1)*$G37*PRODUCT(H8:H36)</f>
        <v>24</v>
      </c>
      <c r="K37" s="13">
        <f>(1-$I37)*($D37-1)*$G37*PRODUCT(H8:H36)</f>
        <v>0</v>
      </c>
      <c r="L37" s="13">
        <f t="shared" si="21"/>
        <v>2</v>
      </c>
      <c r="M37" s="13">
        <f t="shared" si="22"/>
        <v>0</v>
      </c>
      <c r="N37" s="13">
        <f t="shared" si="4"/>
        <v>0</v>
      </c>
      <c r="O37" s="13">
        <f t="shared" si="12"/>
        <v>20000002</v>
      </c>
      <c r="P37" s="45">
        <f t="shared" si="19"/>
        <v>20000000</v>
      </c>
      <c r="Q37" s="12">
        <f t="shared" si="0"/>
        <v>12288</v>
      </c>
      <c r="R37" s="12">
        <f t="shared" si="14"/>
        <v>245760000000</v>
      </c>
      <c r="S37" s="12">
        <f t="shared" si="23"/>
        <v>24.576000000000001</v>
      </c>
      <c r="T37" s="1"/>
      <c r="U37" s="1"/>
      <c r="V37" s="1"/>
      <c r="W37" s="1"/>
      <c r="X37" s="1"/>
      <c r="Y37" s="1"/>
      <c r="Z37" s="1"/>
      <c r="AA37" s="1"/>
      <c r="AB37" s="1"/>
    </row>
    <row r="38" spans="1:28" ht="14" x14ac:dyDescent="0.2">
      <c r="A38" s="1"/>
      <c r="B38" s="11" t="s">
        <v>54</v>
      </c>
      <c r="C38" s="11" t="s">
        <v>50</v>
      </c>
      <c r="D38" s="12">
        <v>7</v>
      </c>
      <c r="E38" s="12">
        <f t="shared" si="16"/>
        <v>64</v>
      </c>
      <c r="F38" s="12">
        <f>F33</f>
        <v>64</v>
      </c>
      <c r="G38" s="12">
        <v>27</v>
      </c>
      <c r="H38" s="12">
        <v>1</v>
      </c>
      <c r="I38" s="12">
        <v>1</v>
      </c>
      <c r="J38" s="13">
        <f>$I38*($D38-1)*$G38*PRODUCT(H8:H37)</f>
        <v>1944</v>
      </c>
      <c r="K38" s="13">
        <f>(1-$I38)*($D38-1)*$G38*PRODUCT(H8:H37)</f>
        <v>0</v>
      </c>
      <c r="L38" s="13">
        <f t="shared" si="21"/>
        <v>162</v>
      </c>
      <c r="M38" s="13">
        <f t="shared" si="22"/>
        <v>0</v>
      </c>
      <c r="N38" s="13">
        <f t="shared" si="4"/>
        <v>0</v>
      </c>
      <c r="O38" s="13">
        <f t="shared" si="12"/>
        <v>20000162</v>
      </c>
      <c r="P38" s="45">
        <f t="shared" si="19"/>
        <v>20000000</v>
      </c>
      <c r="Q38" s="12">
        <f t="shared" si="0"/>
        <v>28672</v>
      </c>
      <c r="R38" s="12">
        <f t="shared" si="14"/>
        <v>573440000000</v>
      </c>
      <c r="S38" s="12">
        <f t="shared" si="23"/>
        <v>57.344000000000001</v>
      </c>
      <c r="T38" s="1"/>
      <c r="U38" s="1"/>
      <c r="V38" s="1"/>
      <c r="W38" s="1"/>
      <c r="X38" s="1"/>
      <c r="Y38" s="1"/>
      <c r="Z38" s="1"/>
      <c r="AA38" s="1"/>
      <c r="AB38" s="1"/>
    </row>
    <row r="39" spans="1:28" ht="14" x14ac:dyDescent="0.2">
      <c r="A39" s="1"/>
      <c r="B39" s="11" t="s">
        <v>55</v>
      </c>
      <c r="C39" s="11" t="s">
        <v>50</v>
      </c>
      <c r="D39" s="12">
        <v>3</v>
      </c>
      <c r="E39" s="12">
        <f t="shared" si="16"/>
        <v>64</v>
      </c>
      <c r="F39" s="12">
        <f>F33</f>
        <v>64</v>
      </c>
      <c r="G39" s="12">
        <v>1</v>
      </c>
      <c r="H39" s="12">
        <v>1</v>
      </c>
      <c r="I39" s="12">
        <v>1</v>
      </c>
      <c r="J39" s="13">
        <f>$I39*($D39-1)*$G39*PRODUCT(H8:H38)</f>
        <v>24</v>
      </c>
      <c r="K39" s="13">
        <f>(1-$I39)*($D39-1)*$G39*PRODUCT(H8:H38)</f>
        <v>0</v>
      </c>
      <c r="L39" s="13">
        <f t="shared" si="21"/>
        <v>2</v>
      </c>
      <c r="M39" s="13">
        <f t="shared" si="22"/>
        <v>0</v>
      </c>
      <c r="N39" s="13">
        <f t="shared" si="4"/>
        <v>0</v>
      </c>
      <c r="O39" s="13">
        <f t="shared" si="12"/>
        <v>20000002</v>
      </c>
      <c r="P39" s="45">
        <f t="shared" si="19"/>
        <v>20000000</v>
      </c>
      <c r="Q39" s="12">
        <f t="shared" si="0"/>
        <v>12288</v>
      </c>
      <c r="R39" s="12">
        <f t="shared" si="14"/>
        <v>245760000000</v>
      </c>
      <c r="S39" s="12">
        <f t="shared" si="23"/>
        <v>24.576000000000001</v>
      </c>
      <c r="T39" s="1"/>
      <c r="U39" s="1"/>
      <c r="V39" s="1"/>
      <c r="W39" s="1"/>
      <c r="X39" s="1"/>
      <c r="Y39" s="1"/>
      <c r="Z39" s="1"/>
      <c r="AA39" s="1"/>
      <c r="AB39" s="1"/>
    </row>
    <row r="40" spans="1:28" ht="14" x14ac:dyDescent="0.2">
      <c r="A40" s="1"/>
      <c r="B40" s="11" t="s">
        <v>56</v>
      </c>
      <c r="C40" s="11" t="s">
        <v>57</v>
      </c>
      <c r="D40" s="12">
        <f>2*H40</f>
        <v>8</v>
      </c>
      <c r="E40" s="12">
        <f t="shared" si="16"/>
        <v>64</v>
      </c>
      <c r="F40" s="12">
        <v>128</v>
      </c>
      <c r="G40" s="12">
        <v>1</v>
      </c>
      <c r="H40" s="12">
        <v>4</v>
      </c>
      <c r="I40" s="12">
        <v>1</v>
      </c>
      <c r="J40" s="13">
        <f>$I40*($D40-1)*$G40*PRODUCT(H8:H39)</f>
        <v>84</v>
      </c>
      <c r="K40" s="13">
        <f>(1-$I40)*($D40-1)*$G40*PRODUCT(H8:H39)</f>
        <v>0</v>
      </c>
      <c r="L40" s="13">
        <f t="shared" si="21"/>
        <v>4</v>
      </c>
      <c r="M40" s="13">
        <f t="shared" si="22"/>
        <v>0</v>
      </c>
      <c r="N40" s="13">
        <f t="shared" si="4"/>
        <v>0</v>
      </c>
      <c r="O40" s="13">
        <f t="shared" si="12"/>
        <v>20000004</v>
      </c>
      <c r="P40" s="45">
        <f t="shared" si="19"/>
        <v>5000000</v>
      </c>
      <c r="Q40" s="12">
        <f t="shared" si="0"/>
        <v>65536</v>
      </c>
      <c r="R40" s="12">
        <f t="shared" si="14"/>
        <v>327680000000</v>
      </c>
      <c r="S40" s="12">
        <f t="shared" si="23"/>
        <v>32.768000000000001</v>
      </c>
      <c r="T40" s="1"/>
      <c r="U40" s="1"/>
      <c r="V40" s="1"/>
      <c r="W40" s="1"/>
      <c r="X40" s="1"/>
      <c r="Y40" s="1"/>
      <c r="Z40" s="1"/>
      <c r="AA40" s="1"/>
      <c r="AB40" s="1"/>
    </row>
    <row r="41" spans="1:28" ht="14" x14ac:dyDescent="0.2">
      <c r="A41" s="1"/>
      <c r="B41" s="1" t="s">
        <v>137</v>
      </c>
      <c r="C41" s="1" t="s">
        <v>138</v>
      </c>
      <c r="D41" s="8">
        <v>7</v>
      </c>
      <c r="E41" s="8">
        <f t="shared" si="16"/>
        <v>128</v>
      </c>
      <c r="F41" s="8">
        <f>F40</f>
        <v>128</v>
      </c>
      <c r="G41" s="8">
        <v>3</v>
      </c>
      <c r="H41" s="8">
        <v>1</v>
      </c>
      <c r="I41" s="8">
        <v>1</v>
      </c>
      <c r="J41" s="9">
        <f>$I41*($D41-1)*$G41*PRODUCT(H8:H40)</f>
        <v>864</v>
      </c>
      <c r="K41" s="9">
        <f>(1-$I41)*($D41-1)*$G41*PRODUCT(H8:H40)</f>
        <v>0</v>
      </c>
      <c r="L41" s="9">
        <f>(($D41-1)*$G41+1-$H41)*$I41</f>
        <v>18</v>
      </c>
      <c r="M41" s="9">
        <f>(($D41-1)*$G41+1-$H41)*(1-$I41)</f>
        <v>0</v>
      </c>
      <c r="N41" s="9">
        <f t="shared" si="4"/>
        <v>0</v>
      </c>
      <c r="O41" s="9">
        <f t="shared" si="12"/>
        <v>5000018</v>
      </c>
      <c r="P41" s="3">
        <f>(O41-G41*(D41-1)-1)/H41+1</f>
        <v>5000000</v>
      </c>
      <c r="Q41" s="8">
        <f t="shared" si="0"/>
        <v>114688</v>
      </c>
      <c r="R41" s="8">
        <f t="shared" si="14"/>
        <v>573440000000</v>
      </c>
      <c r="S41" s="8">
        <f>R41/10^6/$C$4</f>
        <v>57.344000000000001</v>
      </c>
      <c r="T41" s="1"/>
      <c r="U41" s="1"/>
      <c r="V41" s="1"/>
      <c r="W41" s="1"/>
      <c r="X41" s="1"/>
      <c r="Y41" s="1"/>
      <c r="Z41" s="1"/>
      <c r="AA41" s="1"/>
      <c r="AB41" s="1"/>
    </row>
    <row r="42" spans="1:28" ht="14" x14ac:dyDescent="0.2">
      <c r="A42" s="1"/>
      <c r="B42" s="1" t="s">
        <v>139</v>
      </c>
      <c r="C42" s="1" t="s">
        <v>138</v>
      </c>
      <c r="D42" s="8">
        <v>3</v>
      </c>
      <c r="E42" s="8">
        <f t="shared" si="16"/>
        <v>128</v>
      </c>
      <c r="F42" s="8">
        <f>F40</f>
        <v>128</v>
      </c>
      <c r="G42" s="8">
        <v>1</v>
      </c>
      <c r="H42" s="8">
        <v>1</v>
      </c>
      <c r="I42" s="8">
        <v>0.5</v>
      </c>
      <c r="J42" s="9">
        <f>$I42*($D42-1)*$G42*PRODUCT(H8:H41)</f>
        <v>48</v>
      </c>
      <c r="K42" s="9">
        <f>(1-$I42)*($D42-1)*$G42*PRODUCT(H8:H41)</f>
        <v>48</v>
      </c>
      <c r="L42" s="9">
        <f t="shared" ref="L42:L47" si="24">(($D42-1)*$G42+1-$H42)*$I42</f>
        <v>1</v>
      </c>
      <c r="M42" s="9">
        <f t="shared" ref="M42:M47" si="25">(($D42-1)*$G42+1-$H42)*(1-$I42)</f>
        <v>1</v>
      </c>
      <c r="N42" s="9">
        <f t="shared" si="4"/>
        <v>0</v>
      </c>
      <c r="O42" s="9">
        <f t="shared" si="12"/>
        <v>5000002</v>
      </c>
      <c r="P42" s="3">
        <f t="shared" ref="P42:P47" si="26">(O42-G42*(D42-1)-1)/H42+1</f>
        <v>5000000</v>
      </c>
      <c r="Q42" s="8">
        <f t="shared" si="0"/>
        <v>49152</v>
      </c>
      <c r="R42" s="8">
        <f t="shared" si="14"/>
        <v>245760000000</v>
      </c>
      <c r="S42" s="8">
        <f t="shared" ref="S42:S47" si="27">R42/10^6/$C$4</f>
        <v>24.576000000000001</v>
      </c>
      <c r="T42" s="1"/>
      <c r="U42" s="1"/>
      <c r="V42" s="1"/>
      <c r="W42" s="1"/>
      <c r="X42" s="1"/>
      <c r="Y42" s="1"/>
      <c r="Z42" s="1"/>
      <c r="AA42" s="1"/>
      <c r="AB42" s="1"/>
    </row>
    <row r="43" spans="1:28" ht="14" x14ac:dyDescent="0.2">
      <c r="A43" s="1"/>
      <c r="B43" s="1" t="s">
        <v>140</v>
      </c>
      <c r="C43" s="1" t="s">
        <v>138</v>
      </c>
      <c r="D43" s="8">
        <v>7</v>
      </c>
      <c r="E43" s="8">
        <f t="shared" si="16"/>
        <v>128</v>
      </c>
      <c r="F43" s="8">
        <f>F40</f>
        <v>128</v>
      </c>
      <c r="G43" s="8">
        <v>9</v>
      </c>
      <c r="H43" s="8">
        <v>1</v>
      </c>
      <c r="I43" s="8">
        <v>1</v>
      </c>
      <c r="J43" s="9">
        <f>$I43*($D43-1)*$G43*PRODUCT(H8:H42)</f>
        <v>2592</v>
      </c>
      <c r="K43" s="9">
        <f>(1-$I43)*($D43-1)*$G43*PRODUCT(H8:H42)</f>
        <v>0</v>
      </c>
      <c r="L43" s="9">
        <f t="shared" si="24"/>
        <v>54</v>
      </c>
      <c r="M43" s="9">
        <f t="shared" si="25"/>
        <v>0</v>
      </c>
      <c r="N43" s="9">
        <f t="shared" si="4"/>
        <v>0</v>
      </c>
      <c r="O43" s="9">
        <f t="shared" si="12"/>
        <v>5000054</v>
      </c>
      <c r="P43" s="3">
        <f t="shared" si="26"/>
        <v>5000000</v>
      </c>
      <c r="Q43" s="8">
        <f t="shared" si="0"/>
        <v>114688</v>
      </c>
      <c r="R43" s="8">
        <f t="shared" si="14"/>
        <v>573440000000</v>
      </c>
      <c r="S43" s="8">
        <f t="shared" si="27"/>
        <v>57.344000000000001</v>
      </c>
      <c r="T43" s="1"/>
      <c r="U43" s="1"/>
      <c r="V43" s="1"/>
      <c r="W43" s="1"/>
      <c r="X43" s="1"/>
      <c r="Y43" s="1"/>
      <c r="Z43" s="1"/>
      <c r="AA43" s="1"/>
      <c r="AB43" s="1"/>
    </row>
    <row r="44" spans="1:28" ht="14" x14ac:dyDescent="0.2">
      <c r="A44" s="1"/>
      <c r="B44" s="1" t="s">
        <v>141</v>
      </c>
      <c r="C44" s="1" t="s">
        <v>138</v>
      </c>
      <c r="D44" s="8">
        <v>3</v>
      </c>
      <c r="E44" s="8">
        <f t="shared" si="16"/>
        <v>128</v>
      </c>
      <c r="F44" s="8">
        <f>F40</f>
        <v>128</v>
      </c>
      <c r="G44" s="8">
        <v>1</v>
      </c>
      <c r="H44" s="8">
        <v>1</v>
      </c>
      <c r="I44" s="8">
        <v>1</v>
      </c>
      <c r="J44" s="9">
        <f>$I44*($D44-1)*$G44*PRODUCT(H8:H43)</f>
        <v>96</v>
      </c>
      <c r="K44" s="9">
        <f>(1-$I44)*($D44-1)*$G44*PRODUCT(H8:H43)</f>
        <v>0</v>
      </c>
      <c r="L44" s="9">
        <f t="shared" si="24"/>
        <v>2</v>
      </c>
      <c r="M44" s="9">
        <f t="shared" si="25"/>
        <v>0</v>
      </c>
      <c r="N44" s="9">
        <f t="shared" si="4"/>
        <v>0</v>
      </c>
      <c r="O44" s="9">
        <f t="shared" si="12"/>
        <v>5000002</v>
      </c>
      <c r="P44" s="3">
        <f t="shared" si="26"/>
        <v>5000000</v>
      </c>
      <c r="Q44" s="8">
        <f t="shared" si="0"/>
        <v>49152</v>
      </c>
      <c r="R44" s="8">
        <f t="shared" si="14"/>
        <v>245760000000</v>
      </c>
      <c r="S44" s="8">
        <f t="shared" si="27"/>
        <v>24.576000000000001</v>
      </c>
      <c r="T44" s="1"/>
      <c r="U44" s="1"/>
      <c r="V44" s="1"/>
      <c r="W44" s="1"/>
      <c r="X44" s="1"/>
      <c r="Y44" s="1"/>
      <c r="Z44" s="1"/>
      <c r="AA44" s="1"/>
      <c r="AB44" s="1"/>
    </row>
    <row r="45" spans="1:28" ht="14" x14ac:dyDescent="0.2">
      <c r="A45" s="1"/>
      <c r="B45" s="1" t="s">
        <v>142</v>
      </c>
      <c r="C45" s="1" t="s">
        <v>138</v>
      </c>
      <c r="D45" s="8">
        <v>7</v>
      </c>
      <c r="E45" s="8">
        <f t="shared" si="16"/>
        <v>128</v>
      </c>
      <c r="F45" s="8">
        <f>F40</f>
        <v>128</v>
      </c>
      <c r="G45" s="8">
        <v>27</v>
      </c>
      <c r="H45" s="8">
        <v>1</v>
      </c>
      <c r="I45" s="8">
        <v>1</v>
      </c>
      <c r="J45" s="9">
        <f>$I45*($D45-1)*$G45*PRODUCT(H8:H44)</f>
        <v>7776</v>
      </c>
      <c r="K45" s="9">
        <f>(1-$I45)*($D45-1)*$G45*PRODUCT(H8:H44)</f>
        <v>0</v>
      </c>
      <c r="L45" s="9">
        <f t="shared" si="24"/>
        <v>162</v>
      </c>
      <c r="M45" s="9">
        <f t="shared" si="25"/>
        <v>0</v>
      </c>
      <c r="N45" s="9">
        <f t="shared" si="4"/>
        <v>0</v>
      </c>
      <c r="O45" s="9">
        <f t="shared" si="12"/>
        <v>5000162</v>
      </c>
      <c r="P45" s="3">
        <f t="shared" si="26"/>
        <v>5000000</v>
      </c>
      <c r="Q45" s="8">
        <f t="shared" si="0"/>
        <v>114688</v>
      </c>
      <c r="R45" s="8">
        <f t="shared" si="14"/>
        <v>573440000000</v>
      </c>
      <c r="S45" s="8">
        <f t="shared" si="27"/>
        <v>57.344000000000001</v>
      </c>
      <c r="T45" s="1"/>
      <c r="U45" s="1"/>
      <c r="V45" s="1"/>
      <c r="W45" s="1"/>
      <c r="X45" s="1"/>
      <c r="Y45" s="1"/>
      <c r="Z45" s="1"/>
      <c r="AA45" s="1"/>
      <c r="AB45" s="1"/>
    </row>
    <row r="46" spans="1:28" ht="14" x14ac:dyDescent="0.2">
      <c r="A46" s="1"/>
      <c r="B46" s="1" t="s">
        <v>143</v>
      </c>
      <c r="C46" s="1" t="s">
        <v>138</v>
      </c>
      <c r="D46" s="8">
        <v>3</v>
      </c>
      <c r="E46" s="8">
        <f t="shared" si="16"/>
        <v>128</v>
      </c>
      <c r="F46" s="8">
        <f>F40</f>
        <v>128</v>
      </c>
      <c r="G46" s="8">
        <v>1</v>
      </c>
      <c r="H46" s="8">
        <v>1</v>
      </c>
      <c r="I46" s="8">
        <v>1</v>
      </c>
      <c r="J46" s="9">
        <f>$I46*($D46-1)*$G46*PRODUCT(H8:H45)</f>
        <v>96</v>
      </c>
      <c r="K46" s="9">
        <f>(1-$I46)*($D46-1)*$G46*PRODUCT(H8:H45)</f>
        <v>0</v>
      </c>
      <c r="L46" s="9">
        <f t="shared" si="24"/>
        <v>2</v>
      </c>
      <c r="M46" s="9">
        <f t="shared" si="25"/>
        <v>0</v>
      </c>
      <c r="N46" s="9">
        <f t="shared" si="4"/>
        <v>0</v>
      </c>
      <c r="O46" s="9">
        <f t="shared" si="12"/>
        <v>5000002</v>
      </c>
      <c r="P46" s="3">
        <f t="shared" si="26"/>
        <v>5000000</v>
      </c>
      <c r="Q46" s="8">
        <f t="shared" si="0"/>
        <v>49152</v>
      </c>
      <c r="R46" s="8">
        <f t="shared" si="14"/>
        <v>245760000000</v>
      </c>
      <c r="S46" s="8">
        <f t="shared" si="27"/>
        <v>24.576000000000001</v>
      </c>
      <c r="T46" s="1"/>
      <c r="U46" s="1"/>
      <c r="V46" s="1"/>
      <c r="W46" s="1"/>
      <c r="X46" s="1"/>
      <c r="Y46" s="1"/>
      <c r="Z46" s="1"/>
      <c r="AA46" s="1"/>
      <c r="AB46" s="1"/>
    </row>
    <row r="47" spans="1:28" ht="14" x14ac:dyDescent="0.2">
      <c r="A47" s="1"/>
      <c r="B47" s="1" t="s">
        <v>144</v>
      </c>
      <c r="C47" s="1" t="s">
        <v>145</v>
      </c>
      <c r="D47" s="8">
        <f>2*H47</f>
        <v>10</v>
      </c>
      <c r="E47" s="8">
        <f t="shared" si="16"/>
        <v>128</v>
      </c>
      <c r="F47" s="8">
        <v>320</v>
      </c>
      <c r="G47" s="8">
        <v>1</v>
      </c>
      <c r="H47" s="8">
        <v>5</v>
      </c>
      <c r="I47" s="8">
        <v>1</v>
      </c>
      <c r="J47" s="9">
        <f>$I47*($D47-1)*$G47*PRODUCT(H8:H46)</f>
        <v>432</v>
      </c>
      <c r="K47" s="9">
        <f>(1-$I47)*($D47-1)*$G47*PRODUCT(H8:H46)</f>
        <v>0</v>
      </c>
      <c r="L47" s="9">
        <f t="shared" si="24"/>
        <v>5</v>
      </c>
      <c r="M47" s="9">
        <f t="shared" si="25"/>
        <v>0</v>
      </c>
      <c r="N47" s="9">
        <f t="shared" si="4"/>
        <v>0</v>
      </c>
      <c r="O47" s="9">
        <f t="shared" si="12"/>
        <v>5000005</v>
      </c>
      <c r="P47" s="3">
        <f t="shared" si="26"/>
        <v>1000000</v>
      </c>
      <c r="Q47" s="8">
        <f t="shared" si="0"/>
        <v>409600</v>
      </c>
      <c r="R47" s="8">
        <f t="shared" si="14"/>
        <v>409600000000</v>
      </c>
      <c r="S47" s="8">
        <f t="shared" si="27"/>
        <v>40.96</v>
      </c>
      <c r="T47" s="1"/>
      <c r="U47" s="1"/>
      <c r="V47" s="1"/>
      <c r="W47" s="1"/>
      <c r="X47" s="1"/>
      <c r="Y47" s="1"/>
      <c r="Z47" s="1"/>
      <c r="AA47" s="1"/>
      <c r="AB47" s="1"/>
    </row>
    <row r="48" spans="1:28" ht="14"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 x14ac:dyDescent="0.2">
      <c r="A49" s="1"/>
      <c r="B49" s="1"/>
      <c r="C49" s="1"/>
      <c r="D49" s="1"/>
      <c r="E49" s="1"/>
      <c r="F49" s="1"/>
      <c r="M49" s="7" t="s">
        <v>60</v>
      </c>
      <c r="N49" s="7" t="s">
        <v>146</v>
      </c>
      <c r="O49" s="7" t="s">
        <v>147</v>
      </c>
      <c r="P49" s="7" t="s">
        <v>63</v>
      </c>
      <c r="Q49" s="7" t="s">
        <v>64</v>
      </c>
      <c r="R49" s="7" t="s">
        <v>65</v>
      </c>
      <c r="S49" s="7" t="s">
        <v>66</v>
      </c>
      <c r="T49" s="1"/>
      <c r="U49" s="1"/>
      <c r="V49" s="1"/>
      <c r="W49" s="1"/>
      <c r="X49" s="1"/>
      <c r="Y49" s="1"/>
      <c r="Z49" s="1"/>
      <c r="AA49" s="1"/>
      <c r="AB49" s="1"/>
    </row>
    <row r="50" spans="1:28" ht="16" x14ac:dyDescent="0.2">
      <c r="A50" s="1"/>
      <c r="B50" s="15" t="s">
        <v>58</v>
      </c>
      <c r="C50" s="15" t="s">
        <v>59</v>
      </c>
      <c r="D50" s="15"/>
      <c r="E50" s="1"/>
      <c r="F50" s="1"/>
      <c r="M50" s="8">
        <f>PRODUCT(H8:H47)</f>
        <v>240</v>
      </c>
      <c r="N50" s="4">
        <f>SUM(J8:J47)</f>
        <v>17291</v>
      </c>
      <c r="O50" s="4">
        <f>SUM(K8:K47)</f>
        <v>480</v>
      </c>
      <c r="P50" s="4">
        <f>SUM(N50:O50)+1</f>
        <v>17772</v>
      </c>
      <c r="Q50" s="8">
        <f>SUM(Q8:Q47)</f>
        <v>1147448</v>
      </c>
      <c r="R50" s="8">
        <f>SUM(R8:R47)</f>
        <v>9720960000000</v>
      </c>
      <c r="S50" s="8">
        <f>SUM(S8:S47)*2</f>
        <v>1944.1920000000009</v>
      </c>
      <c r="T50" s="1"/>
      <c r="U50" s="1"/>
      <c r="V50" s="1"/>
      <c r="W50" s="1"/>
      <c r="Y50" s="1"/>
      <c r="Z50" s="1"/>
      <c r="AA50" s="1"/>
      <c r="AB50" s="1"/>
    </row>
    <row r="51" spans="1:28" ht="16" x14ac:dyDescent="0.2">
      <c r="A51" s="1"/>
      <c r="B51" s="15" t="s">
        <v>67</v>
      </c>
      <c r="C51" s="15" t="s">
        <v>68</v>
      </c>
      <c r="D51" s="15"/>
      <c r="E51" s="1"/>
      <c r="F51" s="1"/>
      <c r="T51" s="1"/>
      <c r="U51" s="1"/>
      <c r="V51" s="1"/>
      <c r="W51" s="3"/>
      <c r="X51" s="3"/>
      <c r="Y51" s="1"/>
      <c r="Z51" s="3"/>
      <c r="AA51" s="1"/>
      <c r="AB51" s="46"/>
    </row>
    <row r="52" spans="1:28" ht="16" x14ac:dyDescent="0.2">
      <c r="A52" s="1"/>
      <c r="B52" s="15"/>
      <c r="C52" s="16">
        <v>1</v>
      </c>
      <c r="D52" s="15" t="s">
        <v>69</v>
      </c>
      <c r="E52" s="1"/>
      <c r="F52" s="1"/>
      <c r="T52" s="1"/>
      <c r="U52" s="1"/>
      <c r="W52" s="3"/>
      <c r="X52" s="3"/>
      <c r="Y52" s="1"/>
      <c r="Z52" s="1"/>
      <c r="AA52" s="1"/>
      <c r="AB52" s="1"/>
    </row>
    <row r="53" spans="1:28" ht="16" x14ac:dyDescent="0.2">
      <c r="A53" s="1"/>
      <c r="B53" s="15"/>
      <c r="C53" s="16">
        <v>0</v>
      </c>
      <c r="D53" s="15" t="s">
        <v>70</v>
      </c>
      <c r="E53" s="1"/>
      <c r="F53" s="1"/>
      <c r="T53" s="1"/>
      <c r="U53" s="1"/>
      <c r="V53" s="1"/>
      <c r="W53" s="3"/>
      <c r="X53" s="1"/>
      <c r="Y53" s="1"/>
      <c r="Z53" s="1"/>
      <c r="AA53" s="1"/>
      <c r="AB53" s="1"/>
    </row>
    <row r="54" spans="1:28" ht="16" x14ac:dyDescent="0.2">
      <c r="A54" s="1"/>
      <c r="B54" s="15"/>
      <c r="C54" s="16">
        <v>0.5</v>
      </c>
      <c r="D54" s="15" t="s">
        <v>71</v>
      </c>
      <c r="E54" s="1"/>
      <c r="F54" s="1"/>
      <c r="T54" s="1"/>
      <c r="U54" s="1"/>
      <c r="V54" s="1"/>
      <c r="W54" s="1"/>
      <c r="X54" s="1"/>
      <c r="Y54" s="1"/>
      <c r="Z54" s="1"/>
      <c r="AA54" s="1"/>
      <c r="AB54" s="1"/>
    </row>
    <row r="55" spans="1:28" ht="16" x14ac:dyDescent="0.2">
      <c r="A55" s="1"/>
      <c r="B55" s="15" t="s">
        <v>72</v>
      </c>
      <c r="C55" s="15" t="s">
        <v>73</v>
      </c>
      <c r="D55" s="15"/>
      <c r="E55" s="1"/>
      <c r="F55" s="1"/>
      <c r="T55" s="1"/>
      <c r="U55" s="1"/>
      <c r="V55" s="1"/>
      <c r="W55" s="1"/>
      <c r="X55" s="1"/>
      <c r="Y55" s="1"/>
      <c r="Z55" s="1"/>
      <c r="AA55" s="1"/>
      <c r="AB55" s="1"/>
    </row>
    <row r="56" spans="1:28" ht="16" x14ac:dyDescent="0.2">
      <c r="A56" s="1"/>
      <c r="B56" s="15"/>
      <c r="C56" s="15" t="s">
        <v>74</v>
      </c>
      <c r="D56" s="15"/>
      <c r="E56" s="1"/>
      <c r="F56" s="1"/>
      <c r="T56" s="1"/>
      <c r="U56" s="1"/>
      <c r="V56" s="1"/>
      <c r="W56" s="1"/>
      <c r="X56" s="1"/>
      <c r="Y56" s="1"/>
      <c r="Z56" s="1"/>
      <c r="AA56" s="1"/>
      <c r="AB56" s="1"/>
    </row>
    <row r="57" spans="1:28" ht="16" x14ac:dyDescent="0.2">
      <c r="A57" s="1"/>
      <c r="B57" s="15"/>
      <c r="C57" s="15"/>
      <c r="D57" s="15"/>
      <c r="E57" s="1"/>
      <c r="F57" s="1"/>
      <c r="T57" s="1"/>
      <c r="U57" s="1"/>
      <c r="V57" s="1"/>
      <c r="W57" s="1"/>
      <c r="X57" s="1"/>
      <c r="Y57" s="1"/>
      <c r="Z57" s="1"/>
      <c r="AA57" s="1"/>
      <c r="AB57" s="1"/>
    </row>
    <row r="58" spans="1:28" ht="16" x14ac:dyDescent="0.2">
      <c r="A58" s="1"/>
      <c r="B58" s="15" t="s">
        <v>75</v>
      </c>
      <c r="C58" s="15" t="s">
        <v>76</v>
      </c>
      <c r="D58" s="15"/>
      <c r="E58" s="1"/>
      <c r="F58" s="1"/>
      <c r="T58" s="1"/>
      <c r="U58" s="1"/>
      <c r="V58" s="1"/>
      <c r="W58" s="1"/>
      <c r="X58" s="1"/>
      <c r="Y58" s="1"/>
      <c r="Z58" s="1"/>
      <c r="AA58" s="1"/>
      <c r="AB58" s="1"/>
    </row>
    <row r="59" spans="1:28" ht="16" x14ac:dyDescent="0.2">
      <c r="A59" s="1"/>
      <c r="B59" s="15" t="s">
        <v>77</v>
      </c>
      <c r="C59" s="15" t="s">
        <v>78</v>
      </c>
      <c r="D59" s="15"/>
      <c r="E59" s="1"/>
      <c r="F59" s="1"/>
      <c r="T59" s="1"/>
      <c r="U59" s="1"/>
      <c r="V59" s="1"/>
      <c r="W59" s="1"/>
      <c r="X59" s="1"/>
      <c r="Y59" s="1"/>
      <c r="Z59" s="1"/>
      <c r="AA59" s="1"/>
      <c r="AB59" s="1"/>
    </row>
    <row r="60" spans="1:28" ht="16" x14ac:dyDescent="0.2">
      <c r="A60" s="1"/>
      <c r="B60" s="15" t="s">
        <v>79</v>
      </c>
      <c r="C60" s="17" t="s">
        <v>121</v>
      </c>
      <c r="D60" s="15"/>
      <c r="E60" s="1"/>
      <c r="F60" s="1"/>
      <c r="T60" s="1"/>
      <c r="U60" s="1"/>
      <c r="V60" s="1"/>
      <c r="W60" s="1"/>
      <c r="X60" s="1"/>
      <c r="Y60" s="1"/>
      <c r="Z60" s="1"/>
      <c r="AA60" s="1"/>
      <c r="AB60" s="1"/>
    </row>
    <row r="61" spans="1:28" ht="14" x14ac:dyDescent="0.2">
      <c r="A61" s="1"/>
      <c r="B61" s="1"/>
      <c r="C61" s="1"/>
      <c r="D61" s="1"/>
      <c r="E61" s="1"/>
      <c r="F61" s="1"/>
      <c r="T61" s="1"/>
      <c r="U61" s="1"/>
      <c r="V61" s="1"/>
      <c r="W61" s="1"/>
      <c r="X61" s="1"/>
      <c r="Y61" s="1"/>
      <c r="Z61" s="1"/>
      <c r="AA61" s="1"/>
      <c r="AB61" s="1"/>
    </row>
    <row r="62" spans="1:28" ht="14" x14ac:dyDescent="0.2">
      <c r="A62" s="1"/>
      <c r="B62" s="1"/>
      <c r="C62" s="1"/>
      <c r="D62" s="1"/>
      <c r="E62" s="1"/>
      <c r="F62" s="1"/>
      <c r="T62" s="1"/>
      <c r="U62" s="1"/>
      <c r="V62" s="1"/>
      <c r="W62" s="1"/>
      <c r="X62" s="1"/>
      <c r="Y62" s="1"/>
      <c r="Z62" s="1"/>
      <c r="AA62" s="1"/>
      <c r="AB62" s="1"/>
    </row>
    <row r="63" spans="1:28" ht="14" x14ac:dyDescent="0.2">
      <c r="A63" s="1"/>
      <c r="B63" s="1"/>
      <c r="C63" s="1"/>
      <c r="D63" s="1"/>
      <c r="E63" s="1"/>
      <c r="F63" s="1"/>
      <c r="T63" s="1"/>
      <c r="U63" s="1"/>
      <c r="V63" s="1"/>
      <c r="W63" s="1"/>
      <c r="X63" s="1"/>
      <c r="Y63" s="1"/>
      <c r="Z63" s="1"/>
      <c r="AA63" s="1"/>
      <c r="AB63" s="1"/>
    </row>
    <row r="64" spans="1:28" ht="14"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4"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4"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4"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4"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4"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4"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4"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4"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4"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4"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4"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4"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4"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4"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4"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4"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4"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4"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4"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4"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4"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4"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4"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4"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4"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4"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spans="1:28" ht="14"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spans="1:28" ht="14"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sheetData>
  <pageMargins left="0" right="0" top="0" bottom="0" header="0" footer="0"/>
  <headerFooter>
    <oddFooter>&amp;R_x000D_&amp;1#&amp;"Calibri"&amp;8&amp;K000000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5EA3-1D55-6041-A0DF-BCAD5BD5A799}">
  <dimension ref="B3:K8"/>
  <sheetViews>
    <sheetView workbookViewId="0">
      <selection activeCell="E18" sqref="E18"/>
    </sheetView>
  </sheetViews>
  <sheetFormatPr baseColWidth="10" defaultRowHeight="15" x14ac:dyDescent="0.2"/>
  <cols>
    <col min="2" max="2" width="27.1640625" bestFit="1" customWidth="1"/>
    <col min="3" max="3" width="26.33203125" customWidth="1"/>
    <col min="4" max="4" width="17.83203125" bestFit="1" customWidth="1"/>
    <col min="5" max="5" width="12.33203125" bestFit="1" customWidth="1"/>
    <col min="6" max="6" width="14" bestFit="1" customWidth="1"/>
    <col min="7" max="7" width="33.5" bestFit="1" customWidth="1"/>
    <col min="8" max="8" width="35.5" bestFit="1" customWidth="1"/>
    <col min="9" max="9" width="33.33203125" bestFit="1" customWidth="1"/>
    <col min="10" max="10" width="17.1640625" bestFit="1" customWidth="1"/>
    <col min="11" max="11" width="26.83203125" bestFit="1" customWidth="1"/>
  </cols>
  <sheetData>
    <row r="3" spans="2:11" ht="21" x14ac:dyDescent="0.25">
      <c r="B3" s="54" t="s">
        <v>81</v>
      </c>
      <c r="C3" s="54" t="s">
        <v>82</v>
      </c>
      <c r="D3" s="54" t="s">
        <v>83</v>
      </c>
      <c r="E3" s="54" t="s">
        <v>84</v>
      </c>
      <c r="F3" s="54" t="s">
        <v>85</v>
      </c>
      <c r="G3" s="54" t="s">
        <v>86</v>
      </c>
      <c r="H3" s="54" t="s">
        <v>87</v>
      </c>
      <c r="I3" s="54" t="s">
        <v>88</v>
      </c>
      <c r="J3" s="54" t="s">
        <v>89</v>
      </c>
      <c r="K3" s="54" t="s">
        <v>90</v>
      </c>
    </row>
    <row r="4" spans="2:11" ht="19" x14ac:dyDescent="0.25">
      <c r="B4" s="55">
        <v>320</v>
      </c>
      <c r="C4" s="55">
        <v>24</v>
      </c>
      <c r="D4" s="55">
        <v>1024</v>
      </c>
      <c r="E4" s="55">
        <v>6</v>
      </c>
      <c r="F4" s="55">
        <v>100</v>
      </c>
      <c r="G4" s="55">
        <f>F4*B4*C4*E4/10^6</f>
        <v>4.6079999999999997</v>
      </c>
      <c r="H4" s="55">
        <f>F4*C4*D4*E4/10^6</f>
        <v>14.7456</v>
      </c>
      <c r="I4" s="55">
        <f>F4*C4*B4*E4/10^6</f>
        <v>4.6079999999999997</v>
      </c>
      <c r="J4" s="55">
        <f>SUM(G4:I4)*2</f>
        <v>47.923200000000001</v>
      </c>
      <c r="K4" s="55">
        <f>SUM(G4:H4)*2</f>
        <v>38.7072</v>
      </c>
    </row>
    <row r="7" spans="2:11" ht="19" x14ac:dyDescent="0.25">
      <c r="B7" s="18" t="s">
        <v>91</v>
      </c>
      <c r="C7" s="19" t="s">
        <v>148</v>
      </c>
    </row>
    <row r="8" spans="2:11" ht="19" x14ac:dyDescent="0.25">
      <c r="C8" s="19" t="s">
        <v>149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F2CC-580A-5C43-92D5-1D58302C2CC4}">
  <sheetPr>
    <outlinePr summaryBelow="0" summaryRight="0"/>
  </sheetPr>
  <dimension ref="A1:Z1010"/>
  <sheetViews>
    <sheetView tabSelected="1" zoomScale="130" zoomScaleNormal="130" workbookViewId="0">
      <selection activeCell="O53" sqref="O53"/>
    </sheetView>
  </sheetViews>
  <sheetFormatPr baseColWidth="10" defaultColWidth="12.5" defaultRowHeight="15.75" customHeight="1" x14ac:dyDescent="0.2"/>
  <cols>
    <col min="1" max="1" width="12.5" style="21"/>
    <col min="2" max="2" width="35.83203125" style="21" bestFit="1" customWidth="1"/>
    <col min="3" max="5" width="12.5" style="21"/>
    <col min="6" max="6" width="14.1640625" style="21" bestFit="1" customWidth="1"/>
    <col min="7" max="12" width="12.5" style="21"/>
    <col min="13" max="13" width="11.33203125" style="21" bestFit="1" customWidth="1"/>
    <col min="14" max="14" width="21.1640625" style="21" bestFit="1" customWidth="1"/>
    <col min="15" max="15" width="22" style="21" bestFit="1" customWidth="1"/>
    <col min="16" max="16384" width="12.5" style="21"/>
  </cols>
  <sheetData>
    <row r="1" spans="1:26" ht="15.7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ht="15.75" customHeight="1" x14ac:dyDescent="0.2">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2">
      <c r="A3" s="20"/>
      <c r="B3" s="2" t="s">
        <v>94</v>
      </c>
      <c r="C3" s="20">
        <v>300000</v>
      </c>
      <c r="D3" s="20"/>
      <c r="E3" s="20"/>
      <c r="F3" s="20"/>
      <c r="G3" s="20"/>
      <c r="H3" s="20"/>
      <c r="I3" s="20"/>
      <c r="J3" s="20"/>
      <c r="K3" s="20"/>
      <c r="L3" s="20"/>
      <c r="M3" s="20"/>
      <c r="N3" s="20"/>
      <c r="O3" s="20"/>
      <c r="P3" s="20"/>
      <c r="Q3" s="20"/>
      <c r="R3" s="20"/>
      <c r="S3" s="20"/>
      <c r="T3" s="20"/>
      <c r="U3" s="20"/>
      <c r="V3" s="20"/>
      <c r="W3" s="20"/>
      <c r="X3" s="20"/>
      <c r="Y3" s="20"/>
      <c r="Z3" s="20"/>
    </row>
    <row r="4" spans="1:26" ht="15" x14ac:dyDescent="0.2">
      <c r="A4" s="20"/>
      <c r="B4" s="2" t="s">
        <v>95</v>
      </c>
      <c r="C4" s="20">
        <v>100</v>
      </c>
      <c r="D4" s="22"/>
      <c r="E4" s="23"/>
      <c r="F4" s="23"/>
      <c r="G4" s="23"/>
      <c r="H4" s="23"/>
      <c r="I4" s="20"/>
      <c r="J4" s="20"/>
      <c r="K4" s="20"/>
      <c r="L4" s="20"/>
      <c r="M4" s="20"/>
      <c r="N4" s="20"/>
      <c r="O4" s="20"/>
      <c r="P4" s="20"/>
      <c r="Q4" s="20"/>
      <c r="R4" s="20"/>
      <c r="S4" s="20"/>
      <c r="T4" s="20"/>
      <c r="U4" s="20"/>
      <c r="V4" s="20"/>
      <c r="W4" s="20"/>
      <c r="X4" s="20"/>
      <c r="Y4" s="20"/>
      <c r="Z4" s="20"/>
    </row>
    <row r="5" spans="1:26" ht="15" x14ac:dyDescent="0.2">
      <c r="A5" s="20"/>
      <c r="B5" s="2" t="s">
        <v>2</v>
      </c>
      <c r="C5" s="20">
        <f>C3/C4</f>
        <v>3000</v>
      </c>
      <c r="D5" s="24"/>
      <c r="E5" s="25"/>
      <c r="F5" s="25"/>
      <c r="G5" s="26"/>
      <c r="H5" s="25"/>
      <c r="I5" s="25"/>
      <c r="J5" s="25"/>
      <c r="K5" s="27"/>
      <c r="L5" s="27"/>
      <c r="M5" s="27"/>
      <c r="N5" s="27"/>
      <c r="O5" s="27"/>
      <c r="P5" s="20"/>
      <c r="Q5" s="20"/>
      <c r="R5" s="20"/>
      <c r="S5" s="20"/>
      <c r="T5" s="20"/>
      <c r="U5" s="20"/>
      <c r="V5" s="20"/>
      <c r="W5" s="20"/>
      <c r="X5" s="20"/>
      <c r="Y5" s="20"/>
      <c r="Z5" s="20"/>
    </row>
    <row r="6" spans="1:26" ht="15.75" customHeight="1" x14ac:dyDescent="0.2">
      <c r="A6" s="20"/>
      <c r="B6" s="2" t="s">
        <v>96</v>
      </c>
      <c r="C6" s="20">
        <v>320</v>
      </c>
      <c r="D6" s="20"/>
      <c r="E6" s="20"/>
      <c r="F6" s="20"/>
      <c r="G6" s="20"/>
      <c r="H6" s="20"/>
      <c r="I6" s="20"/>
      <c r="J6" s="20"/>
      <c r="K6" s="20"/>
      <c r="L6" s="20"/>
      <c r="M6" s="20"/>
      <c r="N6" s="20"/>
      <c r="O6" s="20"/>
      <c r="P6" s="20"/>
      <c r="Q6" s="20"/>
      <c r="R6" s="20"/>
      <c r="S6" s="20"/>
      <c r="T6" s="20"/>
      <c r="U6" s="20"/>
      <c r="V6" s="20"/>
      <c r="W6" s="20"/>
      <c r="X6" s="20"/>
      <c r="Y6" s="20"/>
      <c r="Z6" s="20"/>
    </row>
    <row r="7" spans="1:26" ht="15.75" customHeight="1" x14ac:dyDescent="0.2">
      <c r="A7" s="20"/>
      <c r="B7" s="2" t="s">
        <v>97</v>
      </c>
      <c r="C7" s="20">
        <v>240</v>
      </c>
      <c r="D7" s="20"/>
      <c r="E7" s="20"/>
      <c r="F7" s="20"/>
      <c r="G7" s="20"/>
      <c r="H7" s="20"/>
      <c r="I7" s="20"/>
      <c r="J7" s="20"/>
      <c r="K7" s="20"/>
      <c r="L7" s="20"/>
      <c r="M7" s="20"/>
      <c r="N7" s="20"/>
      <c r="O7" s="20"/>
      <c r="P7" s="20"/>
      <c r="Q7" s="20"/>
      <c r="R7" s="20"/>
      <c r="S7" s="20"/>
      <c r="T7" s="20"/>
      <c r="U7" s="20"/>
      <c r="V7" s="20"/>
      <c r="W7" s="20"/>
      <c r="X7" s="20"/>
      <c r="Y7" s="20"/>
      <c r="Z7" s="20"/>
    </row>
    <row r="8" spans="1:26" ht="15.75" customHeight="1" x14ac:dyDescent="0.2">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ht="15" x14ac:dyDescent="0.2">
      <c r="A9" s="20"/>
      <c r="B9" s="28" t="s">
        <v>3</v>
      </c>
      <c r="C9" s="28" t="s">
        <v>150</v>
      </c>
      <c r="D9" s="30" t="s">
        <v>151</v>
      </c>
      <c r="E9" s="30" t="s">
        <v>152</v>
      </c>
      <c r="F9" s="30" t="s">
        <v>153</v>
      </c>
      <c r="G9" s="30" t="s">
        <v>8</v>
      </c>
      <c r="H9" s="30" t="s">
        <v>9</v>
      </c>
      <c r="I9" s="30" t="s">
        <v>10</v>
      </c>
      <c r="J9" s="30" t="s">
        <v>154</v>
      </c>
      <c r="K9" s="30" t="s">
        <v>155</v>
      </c>
      <c r="L9" s="30" t="s">
        <v>13</v>
      </c>
      <c r="M9" s="30" t="s">
        <v>14</v>
      </c>
      <c r="N9" s="30" t="s">
        <v>15</v>
      </c>
      <c r="O9" s="30" t="s">
        <v>16</v>
      </c>
      <c r="P9" s="30" t="s">
        <v>156</v>
      </c>
      <c r="Q9" s="28" t="s">
        <v>157</v>
      </c>
      <c r="R9" s="28" t="s">
        <v>158</v>
      </c>
      <c r="S9" s="28" t="s">
        <v>159</v>
      </c>
      <c r="T9" s="20"/>
      <c r="U9" s="20"/>
      <c r="V9" s="20"/>
      <c r="W9" s="20"/>
      <c r="X9" s="20"/>
      <c r="Y9" s="20"/>
      <c r="Z9" s="20"/>
    </row>
    <row r="10" spans="1:26" ht="15.75" customHeight="1" x14ac:dyDescent="0.2">
      <c r="A10" s="20"/>
      <c r="B10" s="20" t="s">
        <v>101</v>
      </c>
      <c r="C10" s="20" t="s">
        <v>102</v>
      </c>
      <c r="D10" s="32">
        <v>5</v>
      </c>
      <c r="E10" s="32">
        <f>E5</f>
        <v>0</v>
      </c>
      <c r="F10" s="32">
        <v>96</v>
      </c>
      <c r="G10" s="32">
        <v>1</v>
      </c>
      <c r="H10" s="32">
        <v>5</v>
      </c>
      <c r="I10" s="32">
        <v>1</v>
      </c>
      <c r="J10" s="32">
        <f>(D10-H10)*(1-I10)</f>
        <v>0</v>
      </c>
      <c r="K10" s="32">
        <f>(D10-H10)*I10</f>
        <v>0</v>
      </c>
      <c r="L10" s="32">
        <f>(D10-H10)*I10</f>
        <v>0</v>
      </c>
      <c r="M10" s="32">
        <f>(D10-H10)*(1-I10)</f>
        <v>0</v>
      </c>
      <c r="N10" s="32">
        <v>0</v>
      </c>
      <c r="O10" s="32">
        <f>C3</f>
        <v>300000</v>
      </c>
      <c r="P10" s="32">
        <f>($C$3-1)*H10+G10*(D10-1)+1+L10+M10</f>
        <v>1500000</v>
      </c>
      <c r="Q10" s="27">
        <f>D10*E10*F10</f>
        <v>0</v>
      </c>
      <c r="R10" s="27">
        <f>C3*D10*E10*F10</f>
        <v>0</v>
      </c>
      <c r="S10" s="47">
        <f>R10/C5/10^6</f>
        <v>0</v>
      </c>
      <c r="T10" s="20"/>
      <c r="U10" s="20"/>
      <c r="V10" s="20"/>
      <c r="W10" s="20"/>
      <c r="X10" s="20"/>
      <c r="Y10" s="20"/>
      <c r="Z10" s="20"/>
    </row>
    <row r="11" spans="1:26" ht="15.75" customHeight="1" x14ac:dyDescent="0.2">
      <c r="A11" s="20"/>
      <c r="B11" s="20" t="s">
        <v>22</v>
      </c>
      <c r="C11" s="20" t="s">
        <v>103</v>
      </c>
      <c r="D11" s="32">
        <v>3</v>
      </c>
      <c r="E11" s="32">
        <f t="shared" ref="E11:E45" si="0">F10</f>
        <v>96</v>
      </c>
      <c r="F11" s="32">
        <f>F10</f>
        <v>96</v>
      </c>
      <c r="G11" s="32">
        <v>5</v>
      </c>
      <c r="H11" s="32">
        <v>1</v>
      </c>
      <c r="I11" s="33">
        <v>0.5</v>
      </c>
      <c r="J11" s="33">
        <f>IF($G11=1, I11*($D11-1)/H10, I11*($D11-1)*$G11/H10)</f>
        <v>1</v>
      </c>
      <c r="K11" s="33">
        <f>IF($G11=1, (1-I11)*($D11-1)/H10, (1-I11)*($D11-1)*$G11/H10)</f>
        <v>1</v>
      </c>
      <c r="L11" s="9">
        <f t="shared" ref="L11:L16" si="1">((D11-1)*G11+1-H11)*I11</f>
        <v>5</v>
      </c>
      <c r="M11" s="9">
        <f t="shared" ref="M11:M16" si="2">((D11-1)*G11+1-H11)*(1-I11)</f>
        <v>5</v>
      </c>
      <c r="N11" s="9">
        <f>CEILING((P10-H11)/H11+1, 1)*H11-P10</f>
        <v>0</v>
      </c>
      <c r="O11" s="9">
        <f>P10+L11+M11+N11</f>
        <v>1500010</v>
      </c>
      <c r="P11" s="32">
        <f>O11-G11*(D11-1)</f>
        <v>1500000</v>
      </c>
      <c r="Q11" s="27">
        <f>D11*E11*F11</f>
        <v>27648</v>
      </c>
      <c r="R11" s="27">
        <f t="shared" ref="R11:R16" si="3">P11*D11*E11*F11</f>
        <v>41472000000</v>
      </c>
      <c r="S11" s="47">
        <f>R11/C5/10^6</f>
        <v>13.824</v>
      </c>
      <c r="T11" s="20"/>
      <c r="U11" s="20"/>
      <c r="V11" s="20"/>
      <c r="W11" s="20"/>
      <c r="X11" s="20"/>
      <c r="Y11" s="20"/>
      <c r="Z11" s="20"/>
    </row>
    <row r="12" spans="1:26" ht="15.75" customHeight="1" x14ac:dyDescent="0.2">
      <c r="A12" s="20"/>
      <c r="B12" s="20" t="s">
        <v>24</v>
      </c>
      <c r="C12" s="20" t="s">
        <v>103</v>
      </c>
      <c r="D12" s="32">
        <v>1</v>
      </c>
      <c r="E12" s="32">
        <f t="shared" si="0"/>
        <v>96</v>
      </c>
      <c r="F12" s="32">
        <f>F10</f>
        <v>96</v>
      </c>
      <c r="G12" s="32">
        <v>1</v>
      </c>
      <c r="H12" s="32">
        <v>1</v>
      </c>
      <c r="I12" s="33">
        <v>1</v>
      </c>
      <c r="J12" s="33">
        <f>IF($G12=1, ($D12-1)/H10, ($D12-1)*$G12/H10)</f>
        <v>0</v>
      </c>
      <c r="K12" s="33">
        <v>0</v>
      </c>
      <c r="L12" s="9">
        <f t="shared" si="1"/>
        <v>0</v>
      </c>
      <c r="M12" s="9">
        <f t="shared" si="2"/>
        <v>0</v>
      </c>
      <c r="N12" s="9">
        <f t="shared" ref="N12:N16" si="4">CEILING((P11-H12)/H12+1, 1)*H12-P11</f>
        <v>0</v>
      </c>
      <c r="O12" s="9">
        <f t="shared" ref="O12:O16" si="5">P11+L12+M12+N12</f>
        <v>1500000</v>
      </c>
      <c r="P12" s="32">
        <f t="shared" ref="P12:P16" si="6">O12-G12*(D12-1)</f>
        <v>1500000</v>
      </c>
      <c r="Q12" s="27">
        <f>D12*E12*F12</f>
        <v>9216</v>
      </c>
      <c r="R12" s="27">
        <f t="shared" si="3"/>
        <v>13824000000</v>
      </c>
      <c r="S12" s="47">
        <f>R12/C5/10^6</f>
        <v>4.6079999999999997</v>
      </c>
      <c r="T12" s="20"/>
      <c r="U12" s="20"/>
      <c r="V12" s="20"/>
      <c r="W12" s="20"/>
      <c r="X12" s="20"/>
      <c r="Y12" s="20"/>
      <c r="Z12" s="20"/>
    </row>
    <row r="13" spans="1:26" ht="15.75" customHeight="1" x14ac:dyDescent="0.2">
      <c r="A13" s="20"/>
      <c r="B13" s="20" t="s">
        <v>25</v>
      </c>
      <c r="C13" s="20" t="s">
        <v>103</v>
      </c>
      <c r="D13" s="32">
        <v>3</v>
      </c>
      <c r="E13" s="32">
        <f t="shared" si="0"/>
        <v>96</v>
      </c>
      <c r="F13" s="32">
        <f>F10</f>
        <v>96</v>
      </c>
      <c r="G13" s="32">
        <v>5</v>
      </c>
      <c r="H13" s="32">
        <v>1</v>
      </c>
      <c r="I13" s="33">
        <v>0.5</v>
      </c>
      <c r="J13" s="33">
        <f>IF($G13=1, I13*($D13-1)/H10, I13*($D13-1)*$G13/H10)</f>
        <v>1</v>
      </c>
      <c r="K13" s="33">
        <f t="shared" ref="K13:K44" si="7">IF($G13=1, (1-I13)*($D13-1)/H10, (1-I13)*($D13-1)*$G13/H10)</f>
        <v>1</v>
      </c>
      <c r="L13" s="9">
        <f t="shared" si="1"/>
        <v>5</v>
      </c>
      <c r="M13" s="9">
        <f t="shared" si="2"/>
        <v>5</v>
      </c>
      <c r="N13" s="9">
        <f t="shared" si="4"/>
        <v>0</v>
      </c>
      <c r="O13" s="9">
        <f t="shared" si="5"/>
        <v>1500010</v>
      </c>
      <c r="P13" s="32">
        <f t="shared" si="6"/>
        <v>1500000</v>
      </c>
      <c r="Q13" s="27">
        <f t="shared" ref="Q13:Q16" si="8">D13*E13*F13</f>
        <v>27648</v>
      </c>
      <c r="R13" s="27">
        <f t="shared" si="3"/>
        <v>41472000000</v>
      </c>
      <c r="S13" s="47">
        <f>R13/C5/10^6</f>
        <v>13.824</v>
      </c>
      <c r="T13" s="20"/>
      <c r="U13" s="20"/>
      <c r="V13" s="20"/>
      <c r="W13" s="20"/>
      <c r="X13" s="20"/>
      <c r="Y13" s="20"/>
      <c r="Z13" s="20"/>
    </row>
    <row r="14" spans="1:26" ht="15.75" customHeight="1" x14ac:dyDescent="0.2">
      <c r="A14" s="20"/>
      <c r="B14" s="20" t="s">
        <v>26</v>
      </c>
      <c r="C14" s="20" t="s">
        <v>103</v>
      </c>
      <c r="D14" s="32">
        <v>1</v>
      </c>
      <c r="E14" s="32">
        <f t="shared" si="0"/>
        <v>96</v>
      </c>
      <c r="F14" s="32">
        <f>F10</f>
        <v>96</v>
      </c>
      <c r="G14" s="32">
        <v>1</v>
      </c>
      <c r="H14" s="32">
        <v>1</v>
      </c>
      <c r="I14" s="33">
        <v>1</v>
      </c>
      <c r="J14" s="33">
        <f>IF($G14=1, ($D14-1)/H10, ($D14-1)*$G14/H10)</f>
        <v>0</v>
      </c>
      <c r="K14" s="33">
        <f t="shared" si="7"/>
        <v>0</v>
      </c>
      <c r="L14" s="9">
        <f t="shared" si="1"/>
        <v>0</v>
      </c>
      <c r="M14" s="9">
        <f t="shared" si="2"/>
        <v>0</v>
      </c>
      <c r="N14" s="9">
        <f t="shared" si="4"/>
        <v>0</v>
      </c>
      <c r="O14" s="9">
        <f t="shared" si="5"/>
        <v>1500000</v>
      </c>
      <c r="P14" s="32">
        <f t="shared" si="6"/>
        <v>1500000</v>
      </c>
      <c r="Q14" s="27">
        <f t="shared" si="8"/>
        <v>9216</v>
      </c>
      <c r="R14" s="27">
        <f t="shared" si="3"/>
        <v>13824000000</v>
      </c>
      <c r="S14" s="47">
        <f>R14/C5/10^6</f>
        <v>4.6079999999999997</v>
      </c>
      <c r="T14" s="20"/>
      <c r="U14" s="20"/>
      <c r="V14" s="20"/>
      <c r="W14" s="20"/>
      <c r="X14" s="20"/>
      <c r="Y14" s="20"/>
      <c r="Z14" s="20"/>
    </row>
    <row r="15" spans="1:26" ht="15.75" customHeight="1" x14ac:dyDescent="0.2">
      <c r="A15" s="20"/>
      <c r="B15" s="20" t="s">
        <v>27</v>
      </c>
      <c r="C15" s="20" t="s">
        <v>103</v>
      </c>
      <c r="D15" s="32">
        <v>5</v>
      </c>
      <c r="E15" s="32">
        <f t="shared" si="0"/>
        <v>96</v>
      </c>
      <c r="F15" s="32">
        <f>F10</f>
        <v>96</v>
      </c>
      <c r="G15" s="32">
        <v>25</v>
      </c>
      <c r="H15" s="32">
        <v>1</v>
      </c>
      <c r="I15" s="33">
        <v>1</v>
      </c>
      <c r="J15" s="33">
        <f>IF($G15=1, I15*($D15-1)/H10, I15*($D15-1)*$G15/H10)</f>
        <v>20</v>
      </c>
      <c r="K15" s="33">
        <f t="shared" si="7"/>
        <v>0</v>
      </c>
      <c r="L15" s="9">
        <f t="shared" si="1"/>
        <v>100</v>
      </c>
      <c r="M15" s="9">
        <f t="shared" si="2"/>
        <v>0</v>
      </c>
      <c r="N15" s="9">
        <f t="shared" si="4"/>
        <v>0</v>
      </c>
      <c r="O15" s="9">
        <f t="shared" si="5"/>
        <v>1500100</v>
      </c>
      <c r="P15" s="32">
        <f t="shared" si="6"/>
        <v>1500000</v>
      </c>
      <c r="Q15" s="27">
        <f t="shared" si="8"/>
        <v>46080</v>
      </c>
      <c r="R15" s="27">
        <f t="shared" si="3"/>
        <v>69120000000</v>
      </c>
      <c r="S15" s="47">
        <f>R15/C5/10^6</f>
        <v>23.04</v>
      </c>
      <c r="T15" s="20"/>
      <c r="U15" s="20"/>
      <c r="V15" s="20"/>
      <c r="W15" s="20"/>
      <c r="X15" s="20"/>
      <c r="Y15" s="20"/>
      <c r="Z15" s="20"/>
    </row>
    <row r="16" spans="1:26" ht="15.75" customHeight="1" x14ac:dyDescent="0.2">
      <c r="A16" s="20"/>
      <c r="B16" s="20" t="s">
        <v>28</v>
      </c>
      <c r="C16" s="20" t="s">
        <v>103</v>
      </c>
      <c r="D16" s="32">
        <v>1</v>
      </c>
      <c r="E16" s="32">
        <f t="shared" si="0"/>
        <v>96</v>
      </c>
      <c r="F16" s="32">
        <f>F10</f>
        <v>96</v>
      </c>
      <c r="G16" s="32">
        <v>1</v>
      </c>
      <c r="H16" s="32">
        <v>1</v>
      </c>
      <c r="I16" s="33">
        <v>1</v>
      </c>
      <c r="J16" s="33">
        <f>IF($G16=1, ($D16-1)/H10, ($D16-1)*$G16/H10)</f>
        <v>0</v>
      </c>
      <c r="K16" s="33">
        <f t="shared" si="7"/>
        <v>0</v>
      </c>
      <c r="L16" s="9">
        <f t="shared" si="1"/>
        <v>0</v>
      </c>
      <c r="M16" s="9">
        <f t="shared" si="2"/>
        <v>0</v>
      </c>
      <c r="N16" s="9">
        <f t="shared" si="4"/>
        <v>0</v>
      </c>
      <c r="O16" s="9">
        <f t="shared" si="5"/>
        <v>1500000</v>
      </c>
      <c r="P16" s="32">
        <f t="shared" si="6"/>
        <v>1500000</v>
      </c>
      <c r="Q16" s="27">
        <f t="shared" si="8"/>
        <v>9216</v>
      </c>
      <c r="R16" s="27">
        <f t="shared" si="3"/>
        <v>13824000000</v>
      </c>
      <c r="S16" s="47">
        <f>R16/C5/10^6</f>
        <v>4.6079999999999997</v>
      </c>
      <c r="T16" s="20"/>
      <c r="U16" s="20"/>
      <c r="V16" s="20"/>
      <c r="W16" s="20"/>
      <c r="X16" s="20"/>
      <c r="Y16" s="20"/>
      <c r="Z16" s="20"/>
    </row>
    <row r="17" spans="1:26" ht="15.75" customHeight="1" x14ac:dyDescent="0.2">
      <c r="A17" s="20"/>
      <c r="B17" s="34" t="s">
        <v>104</v>
      </c>
      <c r="C17" s="34" t="s">
        <v>105</v>
      </c>
      <c r="D17" s="36">
        <v>4</v>
      </c>
      <c r="E17" s="36">
        <f t="shared" si="0"/>
        <v>96</v>
      </c>
      <c r="F17" s="36">
        <v>48</v>
      </c>
      <c r="G17" s="36">
        <v>1</v>
      </c>
      <c r="H17" s="36">
        <v>4</v>
      </c>
      <c r="I17" s="36">
        <v>1</v>
      </c>
      <c r="J17" s="37">
        <f>(D17-H17)*(1-I17)</f>
        <v>0</v>
      </c>
      <c r="K17" s="37">
        <f>(D17-H17)*I17</f>
        <v>0</v>
      </c>
      <c r="L17" s="37">
        <f>(D17-H17)*I17</f>
        <v>0</v>
      </c>
      <c r="M17" s="37">
        <f>(D17-H17)*(1-I17)</f>
        <v>0</v>
      </c>
      <c r="N17" s="37">
        <v>0</v>
      </c>
      <c r="O17" s="37">
        <f>P16</f>
        <v>1500000</v>
      </c>
      <c r="P17" s="36">
        <f>(P16-1)*H17+G17*(D17-1)+1</f>
        <v>6000000</v>
      </c>
      <c r="Q17" s="48">
        <f>D17*E17*F17</f>
        <v>18432</v>
      </c>
      <c r="R17" s="48">
        <f>P16*D17*E17*F17</f>
        <v>27648000000</v>
      </c>
      <c r="S17" s="49">
        <f>R17/C5/10^6</f>
        <v>9.2159999999999993</v>
      </c>
      <c r="T17" s="20"/>
      <c r="U17" s="20"/>
      <c r="V17" s="20"/>
      <c r="W17" s="20"/>
      <c r="X17" s="20"/>
      <c r="Y17" s="20"/>
      <c r="Z17" s="20"/>
    </row>
    <row r="18" spans="1:26" ht="15.75" customHeight="1" x14ac:dyDescent="0.2">
      <c r="A18" s="20"/>
      <c r="B18" s="34" t="s">
        <v>31</v>
      </c>
      <c r="C18" s="34" t="s">
        <v>106</v>
      </c>
      <c r="D18" s="36">
        <v>3</v>
      </c>
      <c r="E18" s="36">
        <f t="shared" si="0"/>
        <v>48</v>
      </c>
      <c r="F18" s="36">
        <f>F17</f>
        <v>48</v>
      </c>
      <c r="G18" s="36">
        <v>4</v>
      </c>
      <c r="H18" s="36">
        <v>1</v>
      </c>
      <c r="I18" s="37">
        <v>1</v>
      </c>
      <c r="J18" s="37">
        <f>IF($G18=1, ($D18-1)/H17/H10, ($D18-1)*$G18/H17/H10)</f>
        <v>0.4</v>
      </c>
      <c r="K18" s="37">
        <f t="shared" si="7"/>
        <v>0</v>
      </c>
      <c r="L18" s="37">
        <f>((D18-1)*G18+1-H18)*I18</f>
        <v>8</v>
      </c>
      <c r="M18" s="37">
        <f>((D18-1)*G18+1-H18)*(1-I18)</f>
        <v>0</v>
      </c>
      <c r="N18" s="13">
        <f>CEILING((P17-H18)/H18+1, 1)*H18-P17</f>
        <v>0</v>
      </c>
      <c r="O18" s="13">
        <f>P17+L18+M18+N18</f>
        <v>6000008</v>
      </c>
      <c r="P18" s="36">
        <f>O18-G18*(D18-1)</f>
        <v>6000000</v>
      </c>
      <c r="Q18" s="48">
        <f>D18*E18*F18</f>
        <v>6912</v>
      </c>
      <c r="R18" s="48">
        <f t="shared" ref="R18:R23" si="9">P18*D18*E18*F18</f>
        <v>41472000000</v>
      </c>
      <c r="S18" s="49">
        <f>R18/C5/10^6</f>
        <v>13.824</v>
      </c>
      <c r="T18" s="20"/>
      <c r="U18" s="20"/>
      <c r="V18" s="20"/>
      <c r="W18" s="20"/>
      <c r="X18" s="20"/>
      <c r="Y18" s="20"/>
      <c r="Z18" s="20"/>
    </row>
    <row r="19" spans="1:26" ht="15.75" customHeight="1" x14ac:dyDescent="0.2">
      <c r="A19" s="20"/>
      <c r="B19" s="34" t="s">
        <v>33</v>
      </c>
      <c r="C19" s="34" t="s">
        <v>106</v>
      </c>
      <c r="D19" s="36">
        <v>1</v>
      </c>
      <c r="E19" s="36">
        <f t="shared" si="0"/>
        <v>48</v>
      </c>
      <c r="F19" s="36">
        <f>F17</f>
        <v>48</v>
      </c>
      <c r="G19" s="36">
        <v>1</v>
      </c>
      <c r="H19" s="36">
        <v>1</v>
      </c>
      <c r="I19" s="37">
        <v>1</v>
      </c>
      <c r="J19" s="37">
        <f>IF($G19=1, ($D19-1)/H17/H10, ($D19-1)*$G19/H17/H10)</f>
        <v>0</v>
      </c>
      <c r="K19" s="37">
        <f t="shared" si="7"/>
        <v>0</v>
      </c>
      <c r="L19" s="37">
        <f t="shared" ref="L19:L23" si="10">((D19-1)*G19+1-H19)*I19</f>
        <v>0</v>
      </c>
      <c r="M19" s="37">
        <f t="shared" ref="M19:M23" si="11">((D19-1)*G19+1-H19)*(1-I19)</f>
        <v>0</v>
      </c>
      <c r="N19" s="13">
        <f t="shared" ref="N19:N23" si="12">CEILING((P18-H19)/H19+1, 1)*H19-P18</f>
        <v>0</v>
      </c>
      <c r="O19" s="13">
        <f t="shared" ref="O19:O23" si="13">P18+L19+M19+N19</f>
        <v>6000000</v>
      </c>
      <c r="P19" s="36">
        <f t="shared" ref="P19:P23" si="14">O19-G19*(D19-1)</f>
        <v>6000000</v>
      </c>
      <c r="Q19" s="48">
        <f t="shared" ref="Q19:Q23" si="15">D19*E19*F19</f>
        <v>2304</v>
      </c>
      <c r="R19" s="48">
        <f t="shared" si="9"/>
        <v>13824000000</v>
      </c>
      <c r="S19" s="49">
        <f>R19/C5/10^6</f>
        <v>4.6079999999999997</v>
      </c>
      <c r="T19" s="20"/>
      <c r="U19" s="20"/>
      <c r="V19" s="20"/>
      <c r="W19" s="20"/>
      <c r="X19" s="20"/>
      <c r="Y19" s="20"/>
      <c r="Z19" s="20"/>
    </row>
    <row r="20" spans="1:26" ht="15.75" customHeight="1" x14ac:dyDescent="0.2">
      <c r="A20" s="20"/>
      <c r="B20" s="34" t="s">
        <v>34</v>
      </c>
      <c r="C20" s="34" t="s">
        <v>106</v>
      </c>
      <c r="D20" s="36">
        <v>5</v>
      </c>
      <c r="E20" s="36">
        <f t="shared" si="0"/>
        <v>48</v>
      </c>
      <c r="F20" s="36">
        <f>F17</f>
        <v>48</v>
      </c>
      <c r="G20" s="36">
        <v>5</v>
      </c>
      <c r="H20" s="36">
        <v>1</v>
      </c>
      <c r="I20" s="37">
        <v>1</v>
      </c>
      <c r="J20" s="37">
        <f>IF($G20=1, ($D20-1)/H17/H10, ($D20-1)*$G20/H17/H10)</f>
        <v>1</v>
      </c>
      <c r="K20" s="37">
        <f t="shared" si="7"/>
        <v>0</v>
      </c>
      <c r="L20" s="37">
        <f t="shared" si="10"/>
        <v>20</v>
      </c>
      <c r="M20" s="37">
        <f t="shared" si="11"/>
        <v>0</v>
      </c>
      <c r="N20" s="13">
        <f t="shared" si="12"/>
        <v>0</v>
      </c>
      <c r="O20" s="13">
        <f t="shared" si="13"/>
        <v>6000020</v>
      </c>
      <c r="P20" s="36">
        <f t="shared" si="14"/>
        <v>6000000</v>
      </c>
      <c r="Q20" s="48">
        <f t="shared" si="15"/>
        <v>11520</v>
      </c>
      <c r="R20" s="48">
        <f t="shared" si="9"/>
        <v>69120000000</v>
      </c>
      <c r="S20" s="49">
        <f>R20/C5/10^6</f>
        <v>23.04</v>
      </c>
      <c r="T20" s="20"/>
      <c r="U20" s="20"/>
      <c r="V20" s="20"/>
      <c r="W20" s="20"/>
      <c r="X20" s="20"/>
      <c r="Y20" s="20"/>
      <c r="Z20" s="20"/>
    </row>
    <row r="21" spans="1:26" ht="15.75" customHeight="1" x14ac:dyDescent="0.2">
      <c r="A21" s="20"/>
      <c r="B21" s="34" t="s">
        <v>35</v>
      </c>
      <c r="C21" s="34" t="s">
        <v>106</v>
      </c>
      <c r="D21" s="36">
        <v>1</v>
      </c>
      <c r="E21" s="36">
        <f t="shared" si="0"/>
        <v>48</v>
      </c>
      <c r="F21" s="36">
        <f>F17</f>
        <v>48</v>
      </c>
      <c r="G21" s="36">
        <v>1</v>
      </c>
      <c r="H21" s="36">
        <v>1</v>
      </c>
      <c r="I21" s="37">
        <v>1</v>
      </c>
      <c r="J21" s="37">
        <f>IF($G21=1, ($D21-1)/H17/H10, ($D21-1)*$G21/H17/H10)</f>
        <v>0</v>
      </c>
      <c r="K21" s="37">
        <f t="shared" si="7"/>
        <v>0</v>
      </c>
      <c r="L21" s="37">
        <f t="shared" si="10"/>
        <v>0</v>
      </c>
      <c r="M21" s="37">
        <f t="shared" si="11"/>
        <v>0</v>
      </c>
      <c r="N21" s="13">
        <f t="shared" si="12"/>
        <v>0</v>
      </c>
      <c r="O21" s="13">
        <f t="shared" si="13"/>
        <v>6000000</v>
      </c>
      <c r="P21" s="36">
        <f t="shared" si="14"/>
        <v>6000000</v>
      </c>
      <c r="Q21" s="48">
        <f t="shared" si="15"/>
        <v>2304</v>
      </c>
      <c r="R21" s="48">
        <f t="shared" si="9"/>
        <v>13824000000</v>
      </c>
      <c r="S21" s="49">
        <f>R21/C5/10^6</f>
        <v>4.6079999999999997</v>
      </c>
      <c r="T21" s="20"/>
      <c r="U21" s="20"/>
      <c r="V21" s="20"/>
      <c r="W21" s="20"/>
      <c r="X21" s="20"/>
      <c r="Y21" s="20"/>
      <c r="Z21" s="20"/>
    </row>
    <row r="22" spans="1:26" ht="15.75" customHeight="1" x14ac:dyDescent="0.2">
      <c r="A22" s="20"/>
      <c r="B22" s="34" t="s">
        <v>36</v>
      </c>
      <c r="C22" s="34" t="s">
        <v>106</v>
      </c>
      <c r="D22" s="36">
        <v>5</v>
      </c>
      <c r="E22" s="36">
        <f t="shared" si="0"/>
        <v>48</v>
      </c>
      <c r="F22" s="36">
        <f>F17</f>
        <v>48</v>
      </c>
      <c r="G22" s="36">
        <v>25</v>
      </c>
      <c r="H22" s="36">
        <v>1</v>
      </c>
      <c r="I22" s="37">
        <v>1</v>
      </c>
      <c r="J22" s="37">
        <f>IF($G22=1, ($D22-1)/H17/H10, ($D22-1)*$G22/H17/H10)</f>
        <v>5</v>
      </c>
      <c r="K22" s="37">
        <f t="shared" si="7"/>
        <v>0</v>
      </c>
      <c r="L22" s="37">
        <f t="shared" si="10"/>
        <v>100</v>
      </c>
      <c r="M22" s="37">
        <f t="shared" si="11"/>
        <v>0</v>
      </c>
      <c r="N22" s="13">
        <f t="shared" si="12"/>
        <v>0</v>
      </c>
      <c r="O22" s="13">
        <f t="shared" si="13"/>
        <v>6000100</v>
      </c>
      <c r="P22" s="36">
        <f t="shared" si="14"/>
        <v>6000000</v>
      </c>
      <c r="Q22" s="48">
        <f t="shared" si="15"/>
        <v>11520</v>
      </c>
      <c r="R22" s="48">
        <f t="shared" si="9"/>
        <v>69120000000</v>
      </c>
      <c r="S22" s="49">
        <f>R22/C5/10^6</f>
        <v>23.04</v>
      </c>
      <c r="T22" s="20"/>
      <c r="U22" s="20"/>
      <c r="V22" s="20"/>
      <c r="W22" s="20"/>
      <c r="X22" s="20"/>
      <c r="Y22" s="20"/>
      <c r="Z22" s="20"/>
    </row>
    <row r="23" spans="1:26" ht="15.75" customHeight="1" x14ac:dyDescent="0.2">
      <c r="A23" s="20"/>
      <c r="B23" s="34" t="s">
        <v>37</v>
      </c>
      <c r="C23" s="34" t="s">
        <v>106</v>
      </c>
      <c r="D23" s="36">
        <v>1</v>
      </c>
      <c r="E23" s="36">
        <f t="shared" si="0"/>
        <v>48</v>
      </c>
      <c r="F23" s="36">
        <f>F17</f>
        <v>48</v>
      </c>
      <c r="G23" s="36">
        <v>1</v>
      </c>
      <c r="H23" s="36">
        <v>1</v>
      </c>
      <c r="I23" s="37">
        <v>1</v>
      </c>
      <c r="J23" s="37">
        <f>IF($G23=1, ($D23-1)/H17/H10, ($D23-1)*$G23/H17/H10)</f>
        <v>0</v>
      </c>
      <c r="K23" s="37">
        <f t="shared" si="7"/>
        <v>0</v>
      </c>
      <c r="L23" s="37">
        <f t="shared" si="10"/>
        <v>0</v>
      </c>
      <c r="M23" s="37">
        <f t="shared" si="11"/>
        <v>0</v>
      </c>
      <c r="N23" s="13">
        <f t="shared" si="12"/>
        <v>0</v>
      </c>
      <c r="O23" s="13">
        <f t="shared" si="13"/>
        <v>6000000</v>
      </c>
      <c r="P23" s="36">
        <f t="shared" si="14"/>
        <v>6000000</v>
      </c>
      <c r="Q23" s="48">
        <f t="shared" si="15"/>
        <v>2304</v>
      </c>
      <c r="R23" s="48">
        <f t="shared" si="9"/>
        <v>13824000000</v>
      </c>
      <c r="S23" s="49">
        <f>R23/C5/10^6</f>
        <v>4.6079999999999997</v>
      </c>
      <c r="T23" s="20"/>
      <c r="U23" s="20"/>
      <c r="V23" s="20"/>
      <c r="W23" s="20"/>
      <c r="X23" s="20"/>
      <c r="Y23" s="20"/>
      <c r="Z23" s="20"/>
    </row>
    <row r="24" spans="1:26" ht="15.75" customHeight="1" x14ac:dyDescent="0.2">
      <c r="A24" s="20"/>
      <c r="B24" s="20" t="s">
        <v>107</v>
      </c>
      <c r="C24" s="20" t="s">
        <v>108</v>
      </c>
      <c r="D24" s="32">
        <v>3</v>
      </c>
      <c r="E24" s="32">
        <f t="shared" si="0"/>
        <v>48</v>
      </c>
      <c r="F24" s="32">
        <v>24</v>
      </c>
      <c r="G24" s="32">
        <v>1</v>
      </c>
      <c r="H24" s="32">
        <v>3</v>
      </c>
      <c r="I24" s="32">
        <v>1</v>
      </c>
      <c r="J24" s="33">
        <f>(D24-H24)*(1-I24)</f>
        <v>0</v>
      </c>
      <c r="K24" s="33">
        <f>(D24-H24)*(1-I24)</f>
        <v>0</v>
      </c>
      <c r="L24" s="33">
        <f>(D24-H24)*I24</f>
        <v>0</v>
      </c>
      <c r="M24" s="33">
        <f>(D24-H24)*(1-I24)</f>
        <v>0</v>
      </c>
      <c r="N24" s="33">
        <v>0</v>
      </c>
      <c r="O24" s="9">
        <f>P23+L24+M24+N24</f>
        <v>6000000</v>
      </c>
      <c r="P24" s="32">
        <f>(P23-1)*H24+G24*(D24-1)+1</f>
        <v>18000000</v>
      </c>
      <c r="Q24" s="27">
        <f>D24*E24*F24</f>
        <v>3456</v>
      </c>
      <c r="R24" s="27">
        <f>P23*D24*E24*F24</f>
        <v>20736000000</v>
      </c>
      <c r="S24" s="47">
        <f>R24/C5/10^6</f>
        <v>6.9119999999999999</v>
      </c>
      <c r="T24" s="20"/>
      <c r="U24" s="20"/>
      <c r="V24" s="20"/>
      <c r="W24" s="20"/>
      <c r="X24" s="20"/>
      <c r="Y24" s="20"/>
      <c r="Z24" s="20"/>
    </row>
    <row r="25" spans="1:26" ht="15.75" customHeight="1" x14ac:dyDescent="0.2">
      <c r="A25" s="20"/>
      <c r="B25" s="20" t="s">
        <v>40</v>
      </c>
      <c r="C25" s="20" t="s">
        <v>109</v>
      </c>
      <c r="D25" s="32">
        <v>5</v>
      </c>
      <c r="E25" s="32">
        <f t="shared" si="0"/>
        <v>24</v>
      </c>
      <c r="F25" s="32">
        <f>F24</f>
        <v>24</v>
      </c>
      <c r="G25" s="32">
        <v>3</v>
      </c>
      <c r="H25" s="32">
        <v>1</v>
      </c>
      <c r="I25" s="33">
        <v>1</v>
      </c>
      <c r="J25" s="33">
        <f>IF($G25=1, ($D25-1)/H24/H17/H10, ($D25-1)*$G25/H24/H17/H10)</f>
        <v>0.2</v>
      </c>
      <c r="K25" s="33">
        <f t="shared" si="7"/>
        <v>0</v>
      </c>
      <c r="L25" s="9">
        <f t="shared" ref="L25:L30" si="16">((D25-1)*G25+1-H25)*I25</f>
        <v>12</v>
      </c>
      <c r="M25" s="9">
        <f t="shared" ref="M25:M30" si="17">((D25-1)*G25+1-H25)*(1-I25)</f>
        <v>0</v>
      </c>
      <c r="N25" s="9">
        <f>CEILING((P24-H25)/H25+1, 1)*H25-P24</f>
        <v>0</v>
      </c>
      <c r="O25" s="9">
        <f>P24+L25+M25+N25</f>
        <v>18000012</v>
      </c>
      <c r="P25" s="32">
        <f>O25-G25*(D25-1)</f>
        <v>18000000</v>
      </c>
      <c r="Q25" s="27">
        <f>D25*E25*F25</f>
        <v>2880</v>
      </c>
      <c r="R25" s="27">
        <f t="shared" ref="R25:R30" si="18">P25*D25*E25*F25</f>
        <v>51840000000</v>
      </c>
      <c r="S25" s="47">
        <f>R25/C5/10^6</f>
        <v>17.28</v>
      </c>
      <c r="T25" s="20"/>
      <c r="U25" s="20"/>
      <c r="V25" s="20"/>
      <c r="W25" s="20"/>
      <c r="X25" s="20"/>
      <c r="Y25" s="20"/>
      <c r="Z25" s="20"/>
    </row>
    <row r="26" spans="1:26" ht="15.75" customHeight="1" x14ac:dyDescent="0.2">
      <c r="A26" s="20"/>
      <c r="B26" s="20" t="s">
        <v>42</v>
      </c>
      <c r="C26" s="20" t="s">
        <v>109</v>
      </c>
      <c r="D26" s="32">
        <v>1</v>
      </c>
      <c r="E26" s="32">
        <f t="shared" si="0"/>
        <v>24</v>
      </c>
      <c r="F26" s="32">
        <f>F24</f>
        <v>24</v>
      </c>
      <c r="G26" s="32">
        <v>1</v>
      </c>
      <c r="H26" s="32">
        <v>1</v>
      </c>
      <c r="I26" s="33">
        <v>1</v>
      </c>
      <c r="J26" s="33">
        <f>IF($G26=1, ($D26-1)/H24/H17/H10, ($D26-1)*$G26/H24/H17/H10)</f>
        <v>0</v>
      </c>
      <c r="K26" s="33">
        <f t="shared" si="7"/>
        <v>0</v>
      </c>
      <c r="L26" s="9">
        <f t="shared" si="16"/>
        <v>0</v>
      </c>
      <c r="M26" s="9">
        <f t="shared" si="17"/>
        <v>0</v>
      </c>
      <c r="N26" s="9">
        <f t="shared" ref="N26:N30" si="19">CEILING((P25-H26)/H26+1, 1)*H26-P25</f>
        <v>0</v>
      </c>
      <c r="O26" s="9">
        <f t="shared" ref="O26:O30" si="20">P25+L26+M26+N26</f>
        <v>18000000</v>
      </c>
      <c r="P26" s="32">
        <f t="shared" ref="P26:P30" si="21">O26-G26*(D26-1)</f>
        <v>18000000</v>
      </c>
      <c r="Q26" s="27">
        <f t="shared" ref="Q26:Q30" si="22">D26*E26*F26</f>
        <v>576</v>
      </c>
      <c r="R26" s="27">
        <f t="shared" si="18"/>
        <v>10368000000</v>
      </c>
      <c r="S26" s="47">
        <f>R26/C5/10^6</f>
        <v>3.456</v>
      </c>
      <c r="T26" s="20"/>
      <c r="U26" s="20"/>
      <c r="V26" s="20"/>
      <c r="W26" s="20"/>
      <c r="X26" s="20"/>
      <c r="Y26" s="20"/>
      <c r="Z26" s="20"/>
    </row>
    <row r="27" spans="1:26" ht="15.75" customHeight="1" x14ac:dyDescent="0.2">
      <c r="A27" s="20"/>
      <c r="B27" s="20" t="s">
        <v>43</v>
      </c>
      <c r="C27" s="20" t="s">
        <v>109</v>
      </c>
      <c r="D27" s="32">
        <v>5</v>
      </c>
      <c r="E27" s="32">
        <f t="shared" si="0"/>
        <v>24</v>
      </c>
      <c r="F27" s="32">
        <f>F24</f>
        <v>24</v>
      </c>
      <c r="G27" s="32">
        <v>5</v>
      </c>
      <c r="H27" s="32">
        <v>1</v>
      </c>
      <c r="I27" s="33">
        <v>1</v>
      </c>
      <c r="J27" s="33">
        <f>IF($G27=1, ($D27-1)/H24/H17/H10, ($D27-1)*$G27/H24/H17/H10)</f>
        <v>0.33333333333333337</v>
      </c>
      <c r="K27" s="33">
        <f t="shared" si="7"/>
        <v>0</v>
      </c>
      <c r="L27" s="9">
        <f t="shared" si="16"/>
        <v>20</v>
      </c>
      <c r="M27" s="9">
        <f t="shared" si="17"/>
        <v>0</v>
      </c>
      <c r="N27" s="9">
        <f t="shared" si="19"/>
        <v>0</v>
      </c>
      <c r="O27" s="9">
        <f t="shared" si="20"/>
        <v>18000020</v>
      </c>
      <c r="P27" s="32">
        <f t="shared" si="21"/>
        <v>18000000</v>
      </c>
      <c r="Q27" s="27">
        <f t="shared" si="22"/>
        <v>2880</v>
      </c>
      <c r="R27" s="27">
        <f t="shared" si="18"/>
        <v>51840000000</v>
      </c>
      <c r="S27" s="47">
        <f>R27/C5/10^6</f>
        <v>17.28</v>
      </c>
      <c r="T27" s="20"/>
      <c r="U27" s="20"/>
      <c r="V27" s="20"/>
      <c r="W27" s="20"/>
      <c r="X27" s="20"/>
      <c r="Y27" s="20"/>
      <c r="Z27" s="20"/>
    </row>
    <row r="28" spans="1:26" ht="15.75" customHeight="1" x14ac:dyDescent="0.2">
      <c r="A28" s="20"/>
      <c r="B28" s="20" t="s">
        <v>44</v>
      </c>
      <c r="C28" s="20" t="s">
        <v>109</v>
      </c>
      <c r="D28" s="32">
        <v>1</v>
      </c>
      <c r="E28" s="32">
        <f t="shared" si="0"/>
        <v>24</v>
      </c>
      <c r="F28" s="32">
        <f>F24</f>
        <v>24</v>
      </c>
      <c r="G28" s="32">
        <v>1</v>
      </c>
      <c r="H28" s="32">
        <v>1</v>
      </c>
      <c r="I28" s="33">
        <v>1</v>
      </c>
      <c r="J28" s="33">
        <f>IF($G28=1, ($D28-1)/H24/H17/H10, ($D28-1)*$G28/H24/H17/H10)</f>
        <v>0</v>
      </c>
      <c r="K28" s="33">
        <f t="shared" si="7"/>
        <v>0</v>
      </c>
      <c r="L28" s="9">
        <f t="shared" si="16"/>
        <v>0</v>
      </c>
      <c r="M28" s="9">
        <f t="shared" si="17"/>
        <v>0</v>
      </c>
      <c r="N28" s="9">
        <f t="shared" si="19"/>
        <v>0</v>
      </c>
      <c r="O28" s="9">
        <f t="shared" si="20"/>
        <v>18000000</v>
      </c>
      <c r="P28" s="32">
        <f t="shared" si="21"/>
        <v>18000000</v>
      </c>
      <c r="Q28" s="27">
        <f t="shared" si="22"/>
        <v>576</v>
      </c>
      <c r="R28" s="27">
        <f t="shared" si="18"/>
        <v>10368000000</v>
      </c>
      <c r="S28" s="47">
        <f>R28/C5/10^6</f>
        <v>3.456</v>
      </c>
      <c r="T28" s="20"/>
      <c r="U28" s="20"/>
      <c r="V28" s="20"/>
      <c r="W28" s="20"/>
      <c r="X28" s="20"/>
      <c r="Y28" s="20"/>
      <c r="Z28" s="20"/>
    </row>
    <row r="29" spans="1:26" ht="15.75" customHeight="1" x14ac:dyDescent="0.2">
      <c r="A29" s="20"/>
      <c r="B29" s="20" t="s">
        <v>45</v>
      </c>
      <c r="C29" s="20" t="s">
        <v>109</v>
      </c>
      <c r="D29" s="32">
        <v>5</v>
      </c>
      <c r="E29" s="32">
        <f t="shared" si="0"/>
        <v>24</v>
      </c>
      <c r="F29" s="32">
        <f>F24</f>
        <v>24</v>
      </c>
      <c r="G29" s="32">
        <v>25</v>
      </c>
      <c r="H29" s="32">
        <v>1</v>
      </c>
      <c r="I29" s="33">
        <v>1</v>
      </c>
      <c r="J29" s="33">
        <f>IF($G29=1, ($D29-1)/H24/H17/H10, ($D29-1)*$G29/H24/H17/H10)</f>
        <v>1.6666666666666667</v>
      </c>
      <c r="K29" s="33">
        <f t="shared" si="7"/>
        <v>0</v>
      </c>
      <c r="L29" s="9">
        <f t="shared" si="16"/>
        <v>100</v>
      </c>
      <c r="M29" s="9">
        <f t="shared" si="17"/>
        <v>0</v>
      </c>
      <c r="N29" s="9">
        <f t="shared" si="19"/>
        <v>0</v>
      </c>
      <c r="O29" s="9">
        <f t="shared" si="20"/>
        <v>18000100</v>
      </c>
      <c r="P29" s="32">
        <f t="shared" si="21"/>
        <v>18000000</v>
      </c>
      <c r="Q29" s="27">
        <f t="shared" si="22"/>
        <v>2880</v>
      </c>
      <c r="R29" s="27">
        <f t="shared" si="18"/>
        <v>51840000000</v>
      </c>
      <c r="S29" s="47">
        <f>R29/C5/10^6</f>
        <v>17.28</v>
      </c>
      <c r="T29" s="20"/>
      <c r="U29" s="20"/>
      <c r="V29" s="20"/>
      <c r="W29" s="20"/>
      <c r="X29" s="20"/>
      <c r="Y29" s="20"/>
      <c r="Z29" s="20"/>
    </row>
    <row r="30" spans="1:26" ht="15.75" customHeight="1" x14ac:dyDescent="0.2">
      <c r="A30" s="20"/>
      <c r="B30" s="20" t="s">
        <v>46</v>
      </c>
      <c r="C30" s="20" t="s">
        <v>109</v>
      </c>
      <c r="D30" s="32">
        <v>1</v>
      </c>
      <c r="E30" s="32">
        <f t="shared" si="0"/>
        <v>24</v>
      </c>
      <c r="F30" s="32">
        <f>F24</f>
        <v>24</v>
      </c>
      <c r="G30" s="32">
        <v>1</v>
      </c>
      <c r="H30" s="32">
        <v>1</v>
      </c>
      <c r="I30" s="33">
        <v>1</v>
      </c>
      <c r="J30" s="33">
        <f>IF($G30=1, ($D30-1)/H24/H17/H10, ($D30-1)*$G30/H24/H17/H10)</f>
        <v>0</v>
      </c>
      <c r="K30" s="33">
        <f t="shared" si="7"/>
        <v>0</v>
      </c>
      <c r="L30" s="9">
        <f t="shared" si="16"/>
        <v>0</v>
      </c>
      <c r="M30" s="9">
        <f t="shared" si="17"/>
        <v>0</v>
      </c>
      <c r="N30" s="9">
        <f t="shared" si="19"/>
        <v>0</v>
      </c>
      <c r="O30" s="9">
        <f t="shared" si="20"/>
        <v>18000000</v>
      </c>
      <c r="P30" s="32">
        <f t="shared" si="21"/>
        <v>18000000</v>
      </c>
      <c r="Q30" s="27">
        <f t="shared" si="22"/>
        <v>576</v>
      </c>
      <c r="R30" s="27">
        <f t="shared" si="18"/>
        <v>10368000000</v>
      </c>
      <c r="S30" s="47">
        <f>R30/C5/10^6</f>
        <v>3.456</v>
      </c>
      <c r="T30" s="20"/>
      <c r="U30" s="20"/>
      <c r="V30" s="20"/>
      <c r="W30" s="20"/>
      <c r="X30" s="20"/>
      <c r="Y30" s="20"/>
      <c r="Z30" s="20"/>
    </row>
    <row r="31" spans="1:26" ht="15.75" customHeight="1" x14ac:dyDescent="0.2">
      <c r="A31" s="20"/>
      <c r="B31" s="34" t="s">
        <v>110</v>
      </c>
      <c r="C31" s="34" t="s">
        <v>111</v>
      </c>
      <c r="D31" s="36">
        <v>2</v>
      </c>
      <c r="E31" s="36">
        <f t="shared" si="0"/>
        <v>24</v>
      </c>
      <c r="F31" s="36">
        <v>12</v>
      </c>
      <c r="G31" s="36">
        <v>1</v>
      </c>
      <c r="H31" s="36">
        <v>2</v>
      </c>
      <c r="I31" s="36">
        <v>1</v>
      </c>
      <c r="J31" s="37">
        <f>(D31-H31)*(1-I31)</f>
        <v>0</v>
      </c>
      <c r="K31" s="37">
        <f>(D31-H31)*I31</f>
        <v>0</v>
      </c>
      <c r="L31" s="37">
        <f>(D31-H31)*I31</f>
        <v>0</v>
      </c>
      <c r="M31" s="37">
        <f>(D31-H31)*(1-I31)</f>
        <v>0</v>
      </c>
      <c r="N31" s="37">
        <v>0</v>
      </c>
      <c r="O31" s="37">
        <f>P30</f>
        <v>18000000</v>
      </c>
      <c r="P31" s="36">
        <f>(P30-1)*H31+G31*(D31-1)+1</f>
        <v>36000000</v>
      </c>
      <c r="Q31" s="48">
        <f>D31*E31*F31</f>
        <v>576</v>
      </c>
      <c r="R31" s="48">
        <f>P30*D31*E31*F31</f>
        <v>10368000000</v>
      </c>
      <c r="S31" s="49">
        <f>R31/C5/10^6</f>
        <v>3.456</v>
      </c>
      <c r="T31" s="20"/>
      <c r="U31" s="20"/>
      <c r="V31" s="20"/>
      <c r="W31" s="20"/>
      <c r="X31" s="20"/>
      <c r="Y31" s="20"/>
      <c r="Z31" s="20"/>
    </row>
    <row r="32" spans="1:26" ht="15.75" customHeight="1" x14ac:dyDescent="0.2">
      <c r="A32" s="20"/>
      <c r="B32" s="34" t="s">
        <v>49</v>
      </c>
      <c r="C32" s="34" t="s">
        <v>112</v>
      </c>
      <c r="D32" s="36">
        <v>3</v>
      </c>
      <c r="E32" s="36">
        <f t="shared" si="0"/>
        <v>12</v>
      </c>
      <c r="F32" s="36">
        <f>F31</f>
        <v>12</v>
      </c>
      <c r="G32" s="36">
        <v>2</v>
      </c>
      <c r="H32" s="36">
        <v>1</v>
      </c>
      <c r="I32" s="37">
        <v>1</v>
      </c>
      <c r="J32" s="37">
        <f>IF($G32=1, ($D32-1)/H31/H24/H17/H10, ($D32-1)*$G32/H31/H24/H17/H10)</f>
        <v>3.3333333333333333E-2</v>
      </c>
      <c r="K32" s="37">
        <f t="shared" si="7"/>
        <v>0</v>
      </c>
      <c r="L32" s="37">
        <f>((D32-1)*G32+1-H32)*I32</f>
        <v>4</v>
      </c>
      <c r="M32" s="37">
        <f>((D32-1)*G32+1-H32)*(1-I32)</f>
        <v>0</v>
      </c>
      <c r="N32" s="13">
        <f>CEILING((P31-H32)/H32+1, 1)*H32-P31</f>
        <v>0</v>
      </c>
      <c r="O32" s="13">
        <f>P31+L32+M32+N32</f>
        <v>36000004</v>
      </c>
      <c r="P32" s="36">
        <f>O32-G32*(D32-1)</f>
        <v>36000000</v>
      </c>
      <c r="Q32" s="48">
        <f>D32*E32*F32</f>
        <v>432</v>
      </c>
      <c r="R32" s="48">
        <f t="shared" ref="R32:R37" si="23">P32*D32*E32*F32</f>
        <v>15552000000</v>
      </c>
      <c r="S32" s="49">
        <f>R32/C5/10^6</f>
        <v>5.1840000000000002</v>
      </c>
      <c r="T32" s="20"/>
      <c r="U32" s="20"/>
      <c r="V32" s="20"/>
      <c r="W32" s="20"/>
      <c r="X32" s="20"/>
      <c r="Y32" s="20"/>
      <c r="Z32" s="20"/>
    </row>
    <row r="33" spans="1:26" ht="15.75" customHeight="1" x14ac:dyDescent="0.2">
      <c r="A33" s="20"/>
      <c r="B33" s="34" t="s">
        <v>51</v>
      </c>
      <c r="C33" s="34" t="s">
        <v>112</v>
      </c>
      <c r="D33" s="36">
        <v>1</v>
      </c>
      <c r="E33" s="36">
        <f t="shared" si="0"/>
        <v>12</v>
      </c>
      <c r="F33" s="36">
        <f>F31</f>
        <v>12</v>
      </c>
      <c r="G33" s="36">
        <v>1</v>
      </c>
      <c r="H33" s="36">
        <v>1</v>
      </c>
      <c r="I33" s="37">
        <v>1</v>
      </c>
      <c r="J33" s="37">
        <f>IF($G33=1, ($D33-1)/H31/H24/H17/H10, ($D33-1)*$G33/H31/H24/H17/H10)</f>
        <v>0</v>
      </c>
      <c r="K33" s="37">
        <f t="shared" si="7"/>
        <v>0</v>
      </c>
      <c r="L33" s="37">
        <f t="shared" ref="L33:L37" si="24">((D33-1)*G33+1-H33)*I33</f>
        <v>0</v>
      </c>
      <c r="M33" s="37">
        <f t="shared" ref="M33:M37" si="25">((D33-1)*G33+1-H33)*(1-I33)</f>
        <v>0</v>
      </c>
      <c r="N33" s="13">
        <f t="shared" ref="N33:N37" si="26">CEILING((P32-H33)/H33+1, 1)*H33-P32</f>
        <v>0</v>
      </c>
      <c r="O33" s="13">
        <f t="shared" ref="O33:O37" si="27">P32+L33+M33+N33</f>
        <v>36000000</v>
      </c>
      <c r="P33" s="36">
        <f t="shared" ref="P33:P37" si="28">O33-G33*(D33-1)</f>
        <v>36000000</v>
      </c>
      <c r="Q33" s="48">
        <f>D33*E33*F33</f>
        <v>144</v>
      </c>
      <c r="R33" s="48">
        <f t="shared" si="23"/>
        <v>5184000000</v>
      </c>
      <c r="S33" s="49">
        <f>R33/C5/10^6</f>
        <v>1.728</v>
      </c>
      <c r="T33" s="20"/>
      <c r="U33" s="20"/>
      <c r="V33" s="20"/>
      <c r="W33" s="20"/>
      <c r="X33" s="20"/>
      <c r="Y33" s="20"/>
      <c r="Z33" s="20"/>
    </row>
    <row r="34" spans="1:26" ht="15.75" customHeight="1" x14ac:dyDescent="0.2">
      <c r="A34" s="20"/>
      <c r="B34" s="34" t="s">
        <v>52</v>
      </c>
      <c r="C34" s="34" t="s">
        <v>112</v>
      </c>
      <c r="D34" s="36">
        <v>5</v>
      </c>
      <c r="E34" s="36">
        <f t="shared" si="0"/>
        <v>12</v>
      </c>
      <c r="F34" s="36">
        <f>F31</f>
        <v>12</v>
      </c>
      <c r="G34" s="36">
        <v>5</v>
      </c>
      <c r="H34" s="36">
        <v>1</v>
      </c>
      <c r="I34" s="37">
        <v>1</v>
      </c>
      <c r="J34" s="37">
        <f>IF($G34=1, ($D34-1)/H31/H24/H17/H10, ($D34-1)*$G34/H31/H24/H17/H10)</f>
        <v>0.16666666666666669</v>
      </c>
      <c r="K34" s="37">
        <f t="shared" si="7"/>
        <v>0</v>
      </c>
      <c r="L34" s="37">
        <f t="shared" si="24"/>
        <v>20</v>
      </c>
      <c r="M34" s="37">
        <f t="shared" si="25"/>
        <v>0</v>
      </c>
      <c r="N34" s="13">
        <f t="shared" si="26"/>
        <v>0</v>
      </c>
      <c r="O34" s="13">
        <f t="shared" si="27"/>
        <v>36000020</v>
      </c>
      <c r="P34" s="36">
        <f t="shared" si="28"/>
        <v>36000000</v>
      </c>
      <c r="Q34" s="48">
        <f t="shared" ref="Q34:Q37" si="29">D34*E34*F34</f>
        <v>720</v>
      </c>
      <c r="R34" s="48">
        <f t="shared" si="23"/>
        <v>25920000000</v>
      </c>
      <c r="S34" s="49">
        <f>R34/C5/10^6</f>
        <v>8.64</v>
      </c>
      <c r="T34" s="20"/>
      <c r="U34" s="20"/>
      <c r="V34" s="20"/>
      <c r="W34" s="20"/>
      <c r="X34" s="20"/>
      <c r="Y34" s="20"/>
      <c r="Z34" s="20"/>
    </row>
    <row r="35" spans="1:26" ht="15.75" customHeight="1" x14ac:dyDescent="0.2">
      <c r="A35" s="20"/>
      <c r="B35" s="34" t="s">
        <v>53</v>
      </c>
      <c r="C35" s="34" t="s">
        <v>112</v>
      </c>
      <c r="D35" s="36">
        <v>1</v>
      </c>
      <c r="E35" s="36">
        <f t="shared" si="0"/>
        <v>12</v>
      </c>
      <c r="F35" s="36">
        <f>F31</f>
        <v>12</v>
      </c>
      <c r="G35" s="36">
        <v>1</v>
      </c>
      <c r="H35" s="36">
        <v>1</v>
      </c>
      <c r="I35" s="37">
        <v>1</v>
      </c>
      <c r="J35" s="37">
        <f>IF($G35=1, ($D35-1)/H31/H24/H17/H10, ($D35-1)*$G35/H31/H24/H17/H10)</f>
        <v>0</v>
      </c>
      <c r="K35" s="37">
        <f t="shared" si="7"/>
        <v>0</v>
      </c>
      <c r="L35" s="37">
        <f t="shared" si="24"/>
        <v>0</v>
      </c>
      <c r="M35" s="37">
        <f t="shared" si="25"/>
        <v>0</v>
      </c>
      <c r="N35" s="13">
        <f t="shared" si="26"/>
        <v>0</v>
      </c>
      <c r="O35" s="13">
        <f t="shared" si="27"/>
        <v>36000000</v>
      </c>
      <c r="P35" s="36">
        <f t="shared" si="28"/>
        <v>36000000</v>
      </c>
      <c r="Q35" s="48">
        <f t="shared" si="29"/>
        <v>144</v>
      </c>
      <c r="R35" s="48">
        <f t="shared" si="23"/>
        <v>5184000000</v>
      </c>
      <c r="S35" s="49">
        <f>R35/C5/10^6</f>
        <v>1.728</v>
      </c>
      <c r="T35" s="20"/>
      <c r="U35" s="20"/>
      <c r="V35" s="20"/>
      <c r="W35" s="20"/>
      <c r="X35" s="20"/>
      <c r="Y35" s="20"/>
      <c r="Z35" s="20"/>
    </row>
    <row r="36" spans="1:26" ht="15.75" customHeight="1" x14ac:dyDescent="0.2">
      <c r="A36" s="20"/>
      <c r="B36" s="34" t="s">
        <v>54</v>
      </c>
      <c r="C36" s="34" t="s">
        <v>112</v>
      </c>
      <c r="D36" s="36">
        <v>5</v>
      </c>
      <c r="E36" s="36">
        <f t="shared" si="0"/>
        <v>12</v>
      </c>
      <c r="F36" s="36">
        <f>F31</f>
        <v>12</v>
      </c>
      <c r="G36" s="36">
        <v>25</v>
      </c>
      <c r="H36" s="36">
        <v>1</v>
      </c>
      <c r="I36" s="37">
        <v>1</v>
      </c>
      <c r="J36" s="37">
        <f>IF($G36=1, ($D36-1)/H31/H24/H17/H10, ($D36-1)*$G36/H31/H24/H17/H10)</f>
        <v>0.83333333333333337</v>
      </c>
      <c r="K36" s="37">
        <f t="shared" si="7"/>
        <v>0</v>
      </c>
      <c r="L36" s="37">
        <f t="shared" si="24"/>
        <v>100</v>
      </c>
      <c r="M36" s="37">
        <f t="shared" si="25"/>
        <v>0</v>
      </c>
      <c r="N36" s="13">
        <f t="shared" si="26"/>
        <v>0</v>
      </c>
      <c r="O36" s="13">
        <f t="shared" si="27"/>
        <v>36000100</v>
      </c>
      <c r="P36" s="36">
        <f t="shared" si="28"/>
        <v>36000000</v>
      </c>
      <c r="Q36" s="48">
        <f t="shared" si="29"/>
        <v>720</v>
      </c>
      <c r="R36" s="48">
        <f t="shared" si="23"/>
        <v>25920000000</v>
      </c>
      <c r="S36" s="49">
        <f>R36/C5/10^6</f>
        <v>8.64</v>
      </c>
      <c r="T36" s="20"/>
      <c r="U36" s="20"/>
      <c r="V36" s="20"/>
      <c r="W36" s="20"/>
      <c r="X36" s="20"/>
      <c r="Y36" s="20"/>
      <c r="Z36" s="20"/>
    </row>
    <row r="37" spans="1:26" ht="15.75" customHeight="1" x14ac:dyDescent="0.2">
      <c r="A37" s="20"/>
      <c r="B37" s="34" t="s">
        <v>55</v>
      </c>
      <c r="C37" s="34" t="s">
        <v>112</v>
      </c>
      <c r="D37" s="36">
        <v>1</v>
      </c>
      <c r="E37" s="36">
        <f t="shared" si="0"/>
        <v>12</v>
      </c>
      <c r="F37" s="36">
        <f>F31</f>
        <v>12</v>
      </c>
      <c r="G37" s="36">
        <v>1</v>
      </c>
      <c r="H37" s="36">
        <v>1</v>
      </c>
      <c r="I37" s="37">
        <v>1</v>
      </c>
      <c r="J37" s="37">
        <f>IF($G37=1, ($D37-1)/H31/H24/H17/H10, ($D37-1)*$G37/H31/H24/H17/H10)</f>
        <v>0</v>
      </c>
      <c r="K37" s="37">
        <f t="shared" si="7"/>
        <v>0</v>
      </c>
      <c r="L37" s="37">
        <f t="shared" si="24"/>
        <v>0</v>
      </c>
      <c r="M37" s="37">
        <f t="shared" si="25"/>
        <v>0</v>
      </c>
      <c r="N37" s="13">
        <f t="shared" si="26"/>
        <v>0</v>
      </c>
      <c r="O37" s="13">
        <f t="shared" si="27"/>
        <v>36000000</v>
      </c>
      <c r="P37" s="36">
        <f t="shared" si="28"/>
        <v>36000000</v>
      </c>
      <c r="Q37" s="48">
        <f t="shared" si="29"/>
        <v>144</v>
      </c>
      <c r="R37" s="48">
        <f t="shared" si="23"/>
        <v>5184000000</v>
      </c>
      <c r="S37" s="49">
        <f>R37/C5/10^6</f>
        <v>1.728</v>
      </c>
      <c r="T37" s="20"/>
      <c r="U37" s="20"/>
      <c r="V37" s="20"/>
      <c r="W37" s="20"/>
      <c r="X37" s="20"/>
      <c r="Y37" s="20"/>
      <c r="Z37" s="20"/>
    </row>
    <row r="38" spans="1:26" ht="15.75" customHeight="1" x14ac:dyDescent="0.2">
      <c r="A38" s="20"/>
      <c r="B38" s="20" t="s">
        <v>107</v>
      </c>
      <c r="C38" s="20" t="s">
        <v>108</v>
      </c>
      <c r="D38" s="32">
        <v>2</v>
      </c>
      <c r="E38" s="32">
        <f t="shared" si="0"/>
        <v>12</v>
      </c>
      <c r="F38" s="32">
        <v>8</v>
      </c>
      <c r="G38" s="32">
        <v>1</v>
      </c>
      <c r="H38" s="32">
        <v>2</v>
      </c>
      <c r="I38" s="32">
        <v>1</v>
      </c>
      <c r="J38" s="33">
        <f>(D38-H38)*(1-I38)</f>
        <v>0</v>
      </c>
      <c r="K38" s="33">
        <f>(D38-H38)*(1-I38)</f>
        <v>0</v>
      </c>
      <c r="L38" s="33">
        <f>(D38-H38)*I38</f>
        <v>0</v>
      </c>
      <c r="M38" s="33">
        <f>(D38-H38)*(1-I38)</f>
        <v>0</v>
      </c>
      <c r="N38" s="33">
        <v>0</v>
      </c>
      <c r="O38" s="9">
        <f>P37+L38+M38+N38</f>
        <v>36000000</v>
      </c>
      <c r="P38" s="32">
        <f>(P37-1)*H38+G38*(D38-1)+1</f>
        <v>72000000</v>
      </c>
      <c r="Q38" s="27">
        <f>D38*E38*F38</f>
        <v>192</v>
      </c>
      <c r="R38" s="27">
        <f>P37*D38*E38*F38</f>
        <v>6912000000</v>
      </c>
      <c r="S38" s="47">
        <f>R38/C5/10^6</f>
        <v>2.3039999999999998</v>
      </c>
      <c r="T38" s="20"/>
      <c r="U38" s="20"/>
      <c r="V38" s="20"/>
      <c r="W38" s="20"/>
      <c r="X38" s="20"/>
      <c r="Y38" s="20"/>
      <c r="Z38" s="20"/>
    </row>
    <row r="39" spans="1:26" ht="15.75" customHeight="1" x14ac:dyDescent="0.2">
      <c r="A39" s="20"/>
      <c r="B39" s="20" t="s">
        <v>40</v>
      </c>
      <c r="C39" s="20" t="s">
        <v>109</v>
      </c>
      <c r="D39" s="32">
        <v>5</v>
      </c>
      <c r="E39" s="32">
        <f t="shared" si="0"/>
        <v>8</v>
      </c>
      <c r="F39" s="32">
        <f>F38</f>
        <v>8</v>
      </c>
      <c r="G39" s="32">
        <v>2</v>
      </c>
      <c r="H39" s="32">
        <v>1</v>
      </c>
      <c r="I39" s="33">
        <v>1</v>
      </c>
      <c r="J39" s="33">
        <f>IF($G39=1, ($D39-1)/H38/H31/H24/H17/H10, ($D39-1)*$G39/H38/H31/H24/H17/H10)</f>
        <v>3.3333333333333333E-2</v>
      </c>
      <c r="K39" s="33">
        <f t="shared" si="7"/>
        <v>0</v>
      </c>
      <c r="L39" s="9">
        <f t="shared" ref="L39:L45" si="30">((D39-1)*G39+1-H39)*I39</f>
        <v>8</v>
      </c>
      <c r="M39" s="9">
        <f t="shared" ref="M39:M45" si="31">((D39-1)*G39+1-H39)*(1-I39)</f>
        <v>0</v>
      </c>
      <c r="N39" s="9">
        <f>CEILING((P38-H39)/H39+1, 1)*H39-P38</f>
        <v>0</v>
      </c>
      <c r="O39" s="9">
        <f>P38+L39+M39+N39</f>
        <v>72000008</v>
      </c>
      <c r="P39" s="32">
        <f>O39-G39*(D39-1)</f>
        <v>72000000</v>
      </c>
      <c r="Q39" s="27">
        <f>D39*E39*F39</f>
        <v>320</v>
      </c>
      <c r="R39" s="27">
        <f t="shared" ref="R39:R45" si="32">P39*D39*E39*F39</f>
        <v>23040000000</v>
      </c>
      <c r="S39" s="47">
        <f>R39/C5/10^6</f>
        <v>7.68</v>
      </c>
      <c r="T39" s="20"/>
      <c r="U39" s="20"/>
      <c r="V39" s="20"/>
      <c r="W39" s="20"/>
      <c r="X39" s="20"/>
      <c r="Y39" s="20"/>
      <c r="Z39" s="20"/>
    </row>
    <row r="40" spans="1:26" ht="15.75" customHeight="1" x14ac:dyDescent="0.2">
      <c r="A40" s="20"/>
      <c r="B40" s="20" t="s">
        <v>42</v>
      </c>
      <c r="C40" s="20" t="s">
        <v>109</v>
      </c>
      <c r="D40" s="32">
        <v>1</v>
      </c>
      <c r="E40" s="32">
        <f t="shared" si="0"/>
        <v>8</v>
      </c>
      <c r="F40" s="32">
        <f>F38</f>
        <v>8</v>
      </c>
      <c r="G40" s="32">
        <v>1</v>
      </c>
      <c r="H40" s="32">
        <v>1</v>
      </c>
      <c r="I40" s="33">
        <v>1</v>
      </c>
      <c r="J40" s="33">
        <f>IF($G40=1, ($D40-1)/H38/H31/H24/H17/H10, ($D40-1)*$G40/H38/H31/H24/H17/H10)</f>
        <v>0</v>
      </c>
      <c r="K40" s="33">
        <f t="shared" si="7"/>
        <v>0</v>
      </c>
      <c r="L40" s="9">
        <f t="shared" si="30"/>
        <v>0</v>
      </c>
      <c r="M40" s="9">
        <f t="shared" si="31"/>
        <v>0</v>
      </c>
      <c r="N40" s="9">
        <f t="shared" ref="N40:N45" si="33">CEILING((P39-H40)/H40+1, 1)*H40-P39</f>
        <v>0</v>
      </c>
      <c r="O40" s="9">
        <f t="shared" ref="O40:O45" si="34">P39+L40+M40+N40</f>
        <v>72000000</v>
      </c>
      <c r="P40" s="32">
        <f t="shared" ref="P40:P45" si="35">O40-G40*(D40-1)</f>
        <v>72000000</v>
      </c>
      <c r="Q40" s="27">
        <f>D40*E40*F40</f>
        <v>64</v>
      </c>
      <c r="R40" s="27">
        <f t="shared" si="32"/>
        <v>4608000000</v>
      </c>
      <c r="S40" s="47">
        <f>R40/C5/10^6</f>
        <v>1.536</v>
      </c>
      <c r="T40" s="20"/>
      <c r="U40" s="20"/>
      <c r="V40" s="20"/>
      <c r="W40" s="20"/>
      <c r="X40" s="20"/>
      <c r="Y40" s="20"/>
      <c r="Z40" s="20"/>
    </row>
    <row r="41" spans="1:26" ht="15.75" customHeight="1" x14ac:dyDescent="0.2">
      <c r="A41" s="20"/>
      <c r="B41" s="20" t="s">
        <v>43</v>
      </c>
      <c r="C41" s="20" t="s">
        <v>109</v>
      </c>
      <c r="D41" s="32">
        <v>5</v>
      </c>
      <c r="E41" s="32">
        <f t="shared" si="0"/>
        <v>8</v>
      </c>
      <c r="F41" s="32">
        <f>F38</f>
        <v>8</v>
      </c>
      <c r="G41" s="32">
        <v>5</v>
      </c>
      <c r="H41" s="32">
        <v>1</v>
      </c>
      <c r="I41" s="33">
        <v>1</v>
      </c>
      <c r="J41" s="33">
        <f>IF($G41=1, ($D41-1)/H38/H31/H24/H17/H10, ($D41-1)*$G41/H38/H31/H24/H17/H10)</f>
        <v>8.3333333333333343E-2</v>
      </c>
      <c r="K41" s="33">
        <f t="shared" si="7"/>
        <v>0</v>
      </c>
      <c r="L41" s="9">
        <f t="shared" si="30"/>
        <v>20</v>
      </c>
      <c r="M41" s="9">
        <f t="shared" si="31"/>
        <v>0</v>
      </c>
      <c r="N41" s="9">
        <f t="shared" si="33"/>
        <v>0</v>
      </c>
      <c r="O41" s="9">
        <f t="shared" si="34"/>
        <v>72000020</v>
      </c>
      <c r="P41" s="32">
        <f t="shared" si="35"/>
        <v>72000000</v>
      </c>
      <c r="Q41" s="27">
        <f t="shared" ref="Q41:Q45" si="36">D41*E41*F41</f>
        <v>320</v>
      </c>
      <c r="R41" s="27">
        <f t="shared" si="32"/>
        <v>23040000000</v>
      </c>
      <c r="S41" s="47">
        <f>R41/C5/10^6</f>
        <v>7.68</v>
      </c>
      <c r="T41" s="20"/>
      <c r="U41" s="20"/>
      <c r="V41" s="20"/>
      <c r="W41" s="20"/>
      <c r="X41" s="20"/>
      <c r="Y41" s="20"/>
      <c r="Z41" s="20"/>
    </row>
    <row r="42" spans="1:26" ht="15.75" customHeight="1" x14ac:dyDescent="0.2">
      <c r="A42" s="20"/>
      <c r="B42" s="20" t="s">
        <v>44</v>
      </c>
      <c r="C42" s="20" t="s">
        <v>109</v>
      </c>
      <c r="D42" s="32">
        <v>1</v>
      </c>
      <c r="E42" s="32">
        <f t="shared" si="0"/>
        <v>8</v>
      </c>
      <c r="F42" s="32">
        <f>F38</f>
        <v>8</v>
      </c>
      <c r="G42" s="32">
        <v>1</v>
      </c>
      <c r="H42" s="32">
        <v>1</v>
      </c>
      <c r="I42" s="33">
        <v>1</v>
      </c>
      <c r="J42" s="33">
        <f>IF($G42=1, ($D42-1)/H38/H31/H24/H17/H10, ($D42-1)*$G42/H38/H31/H24/H17/H10)</f>
        <v>0</v>
      </c>
      <c r="K42" s="33">
        <f t="shared" si="7"/>
        <v>0</v>
      </c>
      <c r="L42" s="9">
        <f t="shared" si="30"/>
        <v>0</v>
      </c>
      <c r="M42" s="9">
        <f t="shared" si="31"/>
        <v>0</v>
      </c>
      <c r="N42" s="9">
        <f t="shared" si="33"/>
        <v>0</v>
      </c>
      <c r="O42" s="9">
        <f t="shared" si="34"/>
        <v>72000000</v>
      </c>
      <c r="P42" s="32">
        <f t="shared" si="35"/>
        <v>72000000</v>
      </c>
      <c r="Q42" s="27">
        <f t="shared" si="36"/>
        <v>64</v>
      </c>
      <c r="R42" s="27">
        <f t="shared" si="32"/>
        <v>4608000000</v>
      </c>
      <c r="S42" s="47">
        <f>R42/C5/10^6</f>
        <v>1.536</v>
      </c>
      <c r="T42" s="20"/>
      <c r="U42" s="20"/>
      <c r="V42" s="20"/>
      <c r="W42" s="20"/>
      <c r="X42" s="20"/>
      <c r="Y42" s="20"/>
      <c r="Z42" s="20"/>
    </row>
    <row r="43" spans="1:26" ht="15.75" customHeight="1" x14ac:dyDescent="0.2">
      <c r="A43" s="20"/>
      <c r="B43" s="20" t="s">
        <v>45</v>
      </c>
      <c r="C43" s="20" t="s">
        <v>109</v>
      </c>
      <c r="D43" s="32">
        <v>5</v>
      </c>
      <c r="E43" s="32">
        <f t="shared" si="0"/>
        <v>8</v>
      </c>
      <c r="F43" s="32">
        <f>F38</f>
        <v>8</v>
      </c>
      <c r="G43" s="32">
        <v>25</v>
      </c>
      <c r="H43" s="32">
        <v>1</v>
      </c>
      <c r="I43" s="33">
        <v>1</v>
      </c>
      <c r="J43" s="33">
        <f>IF($G43=1, ($D43-1)/H38/H31/H24/H17/H10, ($D43-1)*$G43/H38/H31/H24/H17/H10)</f>
        <v>0.41666666666666669</v>
      </c>
      <c r="K43" s="33">
        <f t="shared" si="7"/>
        <v>0</v>
      </c>
      <c r="L43" s="9">
        <f t="shared" si="30"/>
        <v>100</v>
      </c>
      <c r="M43" s="9">
        <f t="shared" si="31"/>
        <v>0</v>
      </c>
      <c r="N43" s="9">
        <f t="shared" si="33"/>
        <v>0</v>
      </c>
      <c r="O43" s="9">
        <f t="shared" si="34"/>
        <v>72000100</v>
      </c>
      <c r="P43" s="32">
        <f t="shared" si="35"/>
        <v>72000000</v>
      </c>
      <c r="Q43" s="27">
        <f t="shared" si="36"/>
        <v>320</v>
      </c>
      <c r="R43" s="27">
        <f t="shared" si="32"/>
        <v>23040000000</v>
      </c>
      <c r="S43" s="47">
        <f>R43/C5/10^6</f>
        <v>7.68</v>
      </c>
      <c r="T43" s="20"/>
      <c r="U43" s="20"/>
      <c r="V43" s="20"/>
      <c r="W43" s="20"/>
      <c r="X43" s="20"/>
      <c r="Y43" s="20"/>
      <c r="Z43" s="20"/>
    </row>
    <row r="44" spans="1:26" ht="15.75" customHeight="1" x14ac:dyDescent="0.2">
      <c r="A44" s="20"/>
      <c r="B44" s="20" t="s">
        <v>46</v>
      </c>
      <c r="C44" s="20" t="s">
        <v>109</v>
      </c>
      <c r="D44" s="50">
        <v>1</v>
      </c>
      <c r="E44" s="32">
        <f t="shared" si="0"/>
        <v>8</v>
      </c>
      <c r="F44" s="32">
        <f>F38</f>
        <v>8</v>
      </c>
      <c r="G44" s="32">
        <v>1</v>
      </c>
      <c r="H44" s="32">
        <v>1</v>
      </c>
      <c r="I44" s="33">
        <v>1</v>
      </c>
      <c r="J44" s="33">
        <f>IF($G44=1, ($D44-1)/H38/H31/H24/H17/H10, ($D44-1)*$G44/H38/H31/H24/H17/H10)</f>
        <v>0</v>
      </c>
      <c r="K44" s="33">
        <f t="shared" si="7"/>
        <v>0</v>
      </c>
      <c r="L44" s="9">
        <f t="shared" si="30"/>
        <v>0</v>
      </c>
      <c r="M44" s="9">
        <f t="shared" si="31"/>
        <v>0</v>
      </c>
      <c r="N44" s="9">
        <f t="shared" si="33"/>
        <v>0</v>
      </c>
      <c r="O44" s="9">
        <f t="shared" si="34"/>
        <v>72000000</v>
      </c>
      <c r="P44" s="32">
        <f t="shared" si="35"/>
        <v>72000000</v>
      </c>
      <c r="Q44" s="27">
        <f t="shared" si="36"/>
        <v>64</v>
      </c>
      <c r="R44" s="27">
        <f t="shared" si="32"/>
        <v>4608000000</v>
      </c>
      <c r="S44" s="47">
        <f>R44/C5/10^6</f>
        <v>1.536</v>
      </c>
      <c r="T44" s="20"/>
      <c r="U44" s="20"/>
      <c r="V44" s="20"/>
      <c r="W44" s="20"/>
      <c r="X44" s="20"/>
      <c r="Y44" s="20"/>
      <c r="Z44" s="20"/>
    </row>
    <row r="45" spans="1:26" ht="15.75" customHeight="1" x14ac:dyDescent="0.2">
      <c r="A45" s="20"/>
      <c r="B45" s="20" t="s">
        <v>113</v>
      </c>
      <c r="C45" s="20"/>
      <c r="D45" s="32">
        <v>21</v>
      </c>
      <c r="E45" s="32">
        <f t="shared" si="0"/>
        <v>8</v>
      </c>
      <c r="F45" s="32">
        <v>1</v>
      </c>
      <c r="G45" s="32">
        <v>1</v>
      </c>
      <c r="H45" s="32">
        <v>1</v>
      </c>
      <c r="I45" s="33">
        <v>1</v>
      </c>
      <c r="J45" s="33">
        <f>IF($G45=1, ($D45-1)/H38/H31/H24/H17/H10, ($D45-1)*$G45/H38/H31/H24/H17/H10)</f>
        <v>8.3333333333333343E-2</v>
      </c>
      <c r="K45" s="33">
        <f>IF($G45=1, (1-I45)*($D45-1)/H35, (1-I45)*($D45-1)*$G45/H35)</f>
        <v>0</v>
      </c>
      <c r="L45" s="9">
        <f t="shared" si="30"/>
        <v>20</v>
      </c>
      <c r="M45" s="9">
        <f t="shared" si="31"/>
        <v>0</v>
      </c>
      <c r="N45" s="9">
        <f t="shared" si="33"/>
        <v>0</v>
      </c>
      <c r="O45" s="9">
        <f t="shared" si="34"/>
        <v>72000020</v>
      </c>
      <c r="P45" s="32">
        <f t="shared" si="35"/>
        <v>72000000</v>
      </c>
      <c r="Q45" s="27">
        <f t="shared" si="36"/>
        <v>168</v>
      </c>
      <c r="R45" s="27">
        <f t="shared" si="32"/>
        <v>12096000000</v>
      </c>
      <c r="S45" s="47">
        <f>R45/C5/10^6</f>
        <v>4.032</v>
      </c>
      <c r="T45" s="20"/>
      <c r="U45" s="20"/>
      <c r="V45" s="20"/>
      <c r="W45" s="20"/>
      <c r="X45" s="20"/>
      <c r="Y45" s="20"/>
      <c r="Z45" s="20"/>
    </row>
    <row r="46" spans="1:26" ht="15.75" customHeight="1" x14ac:dyDescent="0.2">
      <c r="A46" s="20"/>
      <c r="B46" s="20"/>
      <c r="C46" s="20"/>
      <c r="D46" s="32"/>
      <c r="E46" s="32"/>
      <c r="F46" s="32"/>
      <c r="G46" s="32"/>
      <c r="H46" s="32"/>
      <c r="I46" s="32"/>
      <c r="J46" s="32"/>
      <c r="K46" s="32"/>
      <c r="L46" s="32"/>
      <c r="M46" s="32"/>
      <c r="N46" s="32"/>
      <c r="O46" s="32"/>
      <c r="P46" s="32"/>
      <c r="Q46" s="51"/>
      <c r="R46" s="20"/>
      <c r="S46" s="47"/>
      <c r="T46" s="20"/>
      <c r="U46" s="20"/>
      <c r="V46" s="20"/>
      <c r="W46" s="20"/>
      <c r="X46" s="20"/>
      <c r="Y46" s="20"/>
      <c r="Z46" s="20"/>
    </row>
    <row r="47" spans="1:26" ht="15.75" customHeight="1" x14ac:dyDescent="0.2">
      <c r="A47" s="20"/>
      <c r="B47" s="20"/>
      <c r="C47" s="20"/>
      <c r="D47" s="32"/>
      <c r="E47" s="32"/>
      <c r="F47" s="32"/>
      <c r="G47" s="32"/>
      <c r="P47" s="32"/>
      <c r="Q47" s="20"/>
      <c r="R47" s="20"/>
      <c r="S47" s="20"/>
      <c r="T47" s="20"/>
      <c r="U47" s="20"/>
      <c r="V47" s="20"/>
      <c r="W47" s="20"/>
      <c r="X47" s="20"/>
      <c r="Y47" s="20"/>
      <c r="Z47" s="20"/>
    </row>
    <row r="48" spans="1:26" ht="15.75" customHeight="1" x14ac:dyDescent="0.2">
      <c r="A48" s="20"/>
      <c r="B48" s="15" t="s">
        <v>58</v>
      </c>
      <c r="C48" s="15" t="s">
        <v>59</v>
      </c>
      <c r="D48" s="15"/>
      <c r="E48" s="20"/>
      <c r="F48" s="20"/>
      <c r="G48" s="20"/>
      <c r="M48" s="7" t="s">
        <v>60</v>
      </c>
      <c r="N48" s="7" t="s">
        <v>114</v>
      </c>
      <c r="O48" s="7" t="s">
        <v>115</v>
      </c>
      <c r="P48" s="7" t="s">
        <v>63</v>
      </c>
      <c r="Q48" s="7" t="s">
        <v>64</v>
      </c>
      <c r="R48" s="7" t="s">
        <v>65</v>
      </c>
      <c r="S48" s="7" t="s">
        <v>66</v>
      </c>
      <c r="T48" s="20"/>
      <c r="U48" s="20"/>
      <c r="V48" s="20"/>
      <c r="W48" s="20"/>
      <c r="X48" s="20"/>
      <c r="Y48" s="20"/>
      <c r="Z48" s="20"/>
    </row>
    <row r="49" spans="1:26" ht="15.75" customHeight="1" x14ac:dyDescent="0.2">
      <c r="A49" s="20"/>
      <c r="B49" s="15" t="s">
        <v>116</v>
      </c>
      <c r="C49" s="15" t="s">
        <v>68</v>
      </c>
      <c r="D49" s="15"/>
      <c r="E49" s="20"/>
      <c r="F49" s="20"/>
      <c r="G49" s="20"/>
      <c r="M49" s="21">
        <f>PRODUCT(H10:H45)</f>
        <v>240</v>
      </c>
      <c r="N49" s="21">
        <f>SUM(J10:J45)*C7</f>
        <v>7740</v>
      </c>
      <c r="O49" s="21">
        <f>SUM(K10:K45)*C7</f>
        <v>480</v>
      </c>
      <c r="P49" s="20">
        <f>SUM(N49:O49)</f>
        <v>8220</v>
      </c>
      <c r="Q49" s="20">
        <f>SUM(Q10:Q45)</f>
        <v>202536</v>
      </c>
      <c r="R49" s="52">
        <f>SUM(S10:S45)</f>
        <v>281.66399999999993</v>
      </c>
      <c r="S49" s="20">
        <f>R49*2</f>
        <v>563.32799999999986</v>
      </c>
      <c r="T49" s="32"/>
      <c r="U49" s="32"/>
      <c r="V49" s="32"/>
      <c r="W49" s="32"/>
      <c r="X49" s="32"/>
      <c r="Y49" s="20"/>
      <c r="Z49" s="20"/>
    </row>
    <row r="50" spans="1:26" ht="15.75" customHeight="1" x14ac:dyDescent="0.2">
      <c r="A50" s="20"/>
      <c r="B50" s="15"/>
      <c r="C50" s="16">
        <v>1</v>
      </c>
      <c r="D50" s="15" t="s">
        <v>69</v>
      </c>
      <c r="E50" s="20"/>
      <c r="F50" s="20"/>
      <c r="G50" s="20"/>
      <c r="H50" s="20"/>
      <c r="I50" s="20"/>
      <c r="J50" s="20"/>
      <c r="K50" s="20"/>
      <c r="L50" s="20"/>
      <c r="M50" s="20"/>
      <c r="N50" s="20"/>
      <c r="O50" s="20"/>
      <c r="P50" s="20"/>
      <c r="Q50" s="20"/>
      <c r="R50" s="20"/>
      <c r="S50" s="20"/>
      <c r="T50" s="20"/>
      <c r="U50" s="20"/>
      <c r="V50" s="27"/>
      <c r="W50" s="27"/>
      <c r="X50" s="20"/>
      <c r="Y50" s="20"/>
      <c r="Z50" s="20"/>
    </row>
    <row r="51" spans="1:26" ht="15.75" customHeight="1" x14ac:dyDescent="0.2">
      <c r="A51" s="20"/>
      <c r="B51" s="15"/>
      <c r="C51" s="16">
        <v>0</v>
      </c>
      <c r="D51" s="15" t="s">
        <v>70</v>
      </c>
      <c r="E51" s="20"/>
      <c r="G51" s="20"/>
      <c r="H51" s="20"/>
      <c r="Q51" s="20"/>
      <c r="R51" s="20"/>
      <c r="S51" s="20"/>
      <c r="T51" s="20"/>
      <c r="U51" s="20"/>
      <c r="V51" s="27"/>
      <c r="W51" s="51"/>
      <c r="X51" s="20"/>
      <c r="Y51" s="20"/>
      <c r="Z51" s="20"/>
    </row>
    <row r="52" spans="1:26" ht="15.75" customHeight="1" x14ac:dyDescent="0.2">
      <c r="A52" s="20"/>
      <c r="B52" s="15"/>
      <c r="C52" s="16">
        <v>0.5</v>
      </c>
      <c r="D52" s="15" t="s">
        <v>71</v>
      </c>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
      <c r="A53" s="20"/>
      <c r="B53" s="38" t="s">
        <v>117</v>
      </c>
      <c r="C53" s="38" t="s">
        <v>118</v>
      </c>
      <c r="D53" s="38"/>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
      <c r="A54" s="20"/>
      <c r="B54" s="38"/>
      <c r="C54" s="39">
        <v>1</v>
      </c>
      <c r="D54" s="38" t="s">
        <v>119</v>
      </c>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
      <c r="A55" s="20"/>
      <c r="B55" s="38"/>
      <c r="C55" s="39">
        <v>0</v>
      </c>
      <c r="D55" s="38" t="s">
        <v>120</v>
      </c>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
      <c r="A56" s="20"/>
      <c r="B56" s="38"/>
      <c r="C56" s="39">
        <v>0.5</v>
      </c>
      <c r="D56" s="38" t="s">
        <v>71</v>
      </c>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
      <c r="A57" s="20"/>
      <c r="B57" s="38"/>
      <c r="C57" s="39"/>
      <c r="D57" s="38"/>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
      <c r="A58" s="20"/>
      <c r="B58" s="38" t="s">
        <v>72</v>
      </c>
      <c r="C58" s="38" t="s">
        <v>73</v>
      </c>
      <c r="D58" s="38"/>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
      <c r="A59" s="20"/>
      <c r="B59" s="38"/>
      <c r="C59" s="38" t="s">
        <v>74</v>
      </c>
      <c r="D59" s="38"/>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
      <c r="A61" s="20"/>
      <c r="B61" s="15" t="s">
        <v>75</v>
      </c>
      <c r="C61" s="15" t="s">
        <v>76</v>
      </c>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
      <c r="A62" s="20"/>
      <c r="B62" s="15" t="s">
        <v>77</v>
      </c>
      <c r="C62" s="15" t="s">
        <v>78</v>
      </c>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
      <c r="A63" s="20"/>
      <c r="B63" s="15" t="s">
        <v>79</v>
      </c>
      <c r="C63" s="17" t="s">
        <v>121</v>
      </c>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4"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4"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4"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4"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4"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4"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4"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4"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4"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4"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4"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4"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4"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4"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4"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4"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4"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4"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4"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4"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4"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4"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4"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4"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4"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4"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4"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4"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4"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4"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4"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4"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4"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4"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4"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4"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4"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4"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4"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4"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4"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4"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4"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4"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4"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4"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4"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4"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4"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4"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4"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4"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4"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4"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4"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4"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4"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4"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4"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4"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4"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4"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4"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4"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4"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4"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4"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4"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4"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4"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4"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4"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4"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4"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4"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4"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4"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4"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4"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4"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4"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4"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4"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4"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4"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4"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4"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4"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4"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4"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4"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4"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4"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4"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4"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4"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4"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4"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4"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4"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4"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4"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4"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4"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4"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4"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4"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4"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4"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4"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4"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4"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4"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4"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4"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4"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4"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4"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4"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4"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4"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4"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4"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4"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4"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4"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4"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4"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4"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4"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4"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4"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4"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4"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4"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4"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4"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4"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4"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4"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4"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4"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4"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4"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4"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4"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4"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4"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4"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4"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4"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4"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4"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4"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4"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4"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4"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4"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4"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4"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4"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4"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4"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4"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4"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4"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4"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4"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4"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4"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4"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4"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4"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4"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4"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4"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4"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4"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4"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4"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4"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4"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4"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4"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4"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4"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4"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4"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4"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4"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4"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4"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4"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4"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4"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4"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4"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4"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4"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4"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4"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4"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4"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4"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4"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4"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4"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4"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4"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4"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4"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4"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4"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4"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4"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4"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4"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4"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4"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4"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4"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4"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4"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4"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4"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4"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4"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4"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4"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4"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4"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4"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4"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4"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4"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4"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4"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4"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4"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4"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4"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4"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4"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4"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4"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4"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4"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4"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4"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4"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4"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4"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4"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4"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4"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4"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4"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4"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4"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4"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4"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4"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4"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4"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4"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4"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4"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4"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4"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4"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4"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4"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4"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4"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4"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4"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4"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4"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4"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4"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4"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4"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4"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4"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4"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4"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4"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4"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4"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4"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4"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4"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4"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4"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4"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4"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4"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4"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4"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4"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4"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4"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4"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4"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4"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4"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4"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4"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4"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4"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4"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4"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4"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4"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4"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4"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4"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4"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4"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4"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4"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4"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4"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4"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4"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4"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4"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4"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4"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4"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4"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4"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4"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4"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4"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4"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4"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4"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4"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4"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4"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4"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4"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4"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4"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4"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4"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4"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4"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4"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4"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4"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4"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4"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4"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4"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4"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4"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4"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4"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4"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4"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4"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4"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4"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4"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4"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4"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4"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4"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4"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4"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4"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4"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4"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4"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4"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4"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4"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4"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4"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4"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4"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4"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4"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4"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4"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4"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4"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4"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4"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4"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4"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4"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4"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4"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4"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4"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4"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4"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4"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4"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4"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4"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4"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4"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4"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4"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4"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4"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4"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4"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4"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4"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4"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4"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4"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4"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4"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4"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4"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4"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4"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4"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4"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4"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4"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4"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4"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4"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4"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4"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4"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4"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4"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4"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4"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4"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4"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4"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4"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4"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4"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4"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4"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4"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4"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4"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4"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4"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4"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4"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4"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4"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4"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4"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4"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4"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4"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4"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4"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4"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4"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4"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4"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4"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4"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4"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4"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4"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4"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4"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4"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4"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4"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4"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4"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4"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4"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4"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4"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4"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4"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4"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4"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4"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4"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4"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4"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4"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4"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4"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4"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4"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4"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4"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4"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4"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4"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4"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4"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4"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4"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4"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4"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4"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4"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4"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4"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4"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4"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4"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4"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4"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4"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4"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4"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4"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4"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4"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4"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4"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4"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4"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4"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4"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4"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4"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4"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4"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4"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4"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4"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4"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4"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4"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4"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4"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4"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4"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4"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4"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4"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4"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4"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4"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4"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4"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4"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4"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4"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4"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4"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4"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4"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4"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4"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4"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4"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4"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4"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4"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4"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4"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4"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4"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4"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4"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4"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4"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4"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4"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4"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4"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4"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4"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4"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4"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4"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4"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4"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4"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4"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4"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4"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4"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4"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4"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4"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4"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4"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4"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4"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4"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4"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4"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4"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4"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4"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4"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4"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4"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4"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4"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4"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4"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4"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4"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4"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4"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4"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4"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4"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4"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4"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4"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4"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4"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4"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4"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4"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4"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4"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4"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4"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4"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4"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4"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4"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4"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4"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4"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4"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4"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4"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4"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4"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4"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4"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4"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4"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4"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4"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4"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4"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4"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4"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4"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4"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4"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4"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4"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4"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4"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4"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4"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4"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4"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4"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4"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4"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4"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4"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4"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4"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4"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4"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4"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4"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4"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4"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4"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4"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4"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4"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4"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4"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4"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4"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4"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4"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4"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4"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4"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4"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4"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4"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4"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4"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4"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4"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4"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4"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4"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4"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4"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4"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4"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4"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4"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4"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4"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4"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4"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4"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4"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4"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4"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4"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4"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4"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4"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4"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4"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4"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4"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4"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4"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4"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4"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4"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4"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4"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4"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4"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4"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4"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4"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4"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4"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4"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4"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4"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4"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4"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4"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4"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4"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4"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4"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4"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4"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4"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4"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4"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4"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4"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4"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4"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4"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4"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4"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4"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4"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4"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4"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4"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4"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4"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4"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4"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4"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4"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4"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4"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4"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4"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4"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4"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4"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4"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4"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4"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4"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4"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4"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4"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4"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4"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4"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4"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4"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4"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4"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4"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4"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4"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4"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4"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4"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4"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4"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4"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4"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4"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4"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4"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4"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4"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4"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4"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4"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4"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4"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4"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4"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4"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4"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4"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4"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4"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4"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4"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4"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4"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4"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4"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4"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4"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4"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4"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4"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4"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4"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4"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4"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4"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4"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4"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4"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4"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4"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4"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4"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4"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4"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4"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4"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4"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4"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4"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4"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4"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4"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4"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4"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4"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4"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4"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4"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4"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4"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4"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4"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4"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4"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4"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4"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4"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4"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4"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4"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4"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4"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4"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4"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4"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4"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4"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4"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4"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4"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4"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4"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4"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4"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4"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4"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4"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4"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4"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4"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4"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4"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4"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4"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4"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4"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4"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4"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4"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4"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4"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4"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4"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4"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4"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4"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4"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4"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4"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4"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4"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4"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4"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4"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4"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4"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4"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4"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4"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4"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4"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4"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4"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4"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4"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4"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4"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4"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4"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4"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4"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4"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4"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4"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4"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4"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4"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4" x14ac:dyDescent="0.2">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4" x14ac:dyDescent="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4" x14ac:dyDescent="0.2">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4" x14ac:dyDescent="0.2">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spans="1:26" ht="14" x14ac:dyDescent="0.2">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spans="1:26" ht="14" x14ac:dyDescent="0.2">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spans="1:26" ht="14" x14ac:dyDescent="0.2">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spans="1:26" ht="14" x14ac:dyDescent="0.2">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spans="1:26" ht="14" x14ac:dyDescent="0.2">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spans="1:26" ht="14" x14ac:dyDescent="0.2">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sheetData>
  <pageMargins left="0" right="0" top="0" bottom="0" header="0" footer="0"/>
  <headerFooter>
    <oddFooter>&amp;R_x000D_&amp;1#&amp;"Calibri"&amp;8&amp;K000000 Cisco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2AEC-5E8A-4E4C-AB04-EC9942737883}">
  <dimension ref="B2:D17"/>
  <sheetViews>
    <sheetView workbookViewId="0">
      <selection activeCell="J17" sqref="J17"/>
    </sheetView>
  </sheetViews>
  <sheetFormatPr baseColWidth="10" defaultRowHeight="15" x14ac:dyDescent="0.2"/>
  <cols>
    <col min="2" max="2" width="46.6640625" bestFit="1" customWidth="1"/>
    <col min="3" max="3" width="19.83203125" customWidth="1"/>
    <col min="4" max="4" width="27.83203125" bestFit="1" customWidth="1"/>
  </cols>
  <sheetData>
    <row r="2" spans="2:4" ht="21" x14ac:dyDescent="0.25">
      <c r="B2" s="40" t="s">
        <v>122</v>
      </c>
      <c r="C2" s="41"/>
      <c r="D2" s="41"/>
    </row>
    <row r="4" spans="2:4" ht="21" x14ac:dyDescent="0.25">
      <c r="C4" s="42" t="s">
        <v>123</v>
      </c>
      <c r="D4" s="42" t="s">
        <v>124</v>
      </c>
    </row>
    <row r="5" spans="2:4" ht="21" x14ac:dyDescent="0.25">
      <c r="B5" s="43" t="s">
        <v>125</v>
      </c>
      <c r="C5" s="44">
        <f>'Encoder-Track2'!S50+'VQ-Track2'!K4</f>
        <v>1982.899200000001</v>
      </c>
      <c r="D5" s="19">
        <v>2000</v>
      </c>
    </row>
    <row r="6" spans="2:4" ht="21" x14ac:dyDescent="0.25">
      <c r="B6" s="43" t="s">
        <v>126</v>
      </c>
      <c r="C6" s="53">
        <f>'Decoder-Track2'!S49</f>
        <v>563.32799999999986</v>
      </c>
      <c r="D6" s="19">
        <v>600</v>
      </c>
    </row>
    <row r="10" spans="2:4" ht="21" x14ac:dyDescent="0.25">
      <c r="B10" s="40" t="s">
        <v>127</v>
      </c>
      <c r="C10" s="41"/>
      <c r="D10" s="41"/>
    </row>
    <row r="13" spans="2:4" ht="21" x14ac:dyDescent="0.25">
      <c r="B13" s="43" t="s">
        <v>128</v>
      </c>
      <c r="C13" s="19">
        <f>'Encoder-Track2'!O50/'Encoder-Track2'!C3*1000</f>
        <v>20</v>
      </c>
    </row>
    <row r="14" spans="2:4" ht="21" x14ac:dyDescent="0.25">
      <c r="B14" s="43" t="s">
        <v>129</v>
      </c>
      <c r="C14" s="19">
        <f>'Decoder-Track2'!O49/'Encoder-Track2'!C3*1000</f>
        <v>20</v>
      </c>
    </row>
    <row r="15" spans="2:4" ht="21" x14ac:dyDescent="0.25">
      <c r="B15" s="43" t="s">
        <v>130</v>
      </c>
      <c r="C15" s="19">
        <f>'Encoder-Track2'!M50/'Encoder-Track2'!C3*1000</f>
        <v>10</v>
      </c>
    </row>
    <row r="16" spans="2:4" ht="21" x14ac:dyDescent="0.25">
      <c r="B16" s="43" t="s">
        <v>131</v>
      </c>
      <c r="C16" s="44">
        <f>SUM(C13:C15)</f>
        <v>50</v>
      </c>
    </row>
    <row r="17" spans="2:3" ht="21" x14ac:dyDescent="0.25">
      <c r="B17" s="42" t="s">
        <v>132</v>
      </c>
      <c r="C17" s="19">
        <v>50</v>
      </c>
    </row>
  </sheetData>
  <mergeCells count="2">
    <mergeCell ref="B2:D2"/>
    <mergeCell ref="B10:D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72954E29F0F34F80A3CEFFB9C6BBE6" ma:contentTypeVersion="10" ma:contentTypeDescription="Create a new document." ma:contentTypeScope="" ma:versionID="9cb94795a1ed26627dac39fe96ba5c7e">
  <xsd:schema xmlns:xsd="http://www.w3.org/2001/XMLSchema" xmlns:xs="http://www.w3.org/2001/XMLSchema" xmlns:p="http://schemas.microsoft.com/office/2006/metadata/properties" xmlns:ns2="f32c2b81-ed23-4761-b63d-35b1e3132b6b" xmlns:ns3="fd7cb061-8761-4e9a-b7cd-bd259abf982e" targetNamespace="http://schemas.microsoft.com/office/2006/metadata/properties" ma:root="true" ma:fieldsID="e28d34c5c2340c5e01af1c8f05504e18" ns2:_="" ns3:_="">
    <xsd:import namespace="f32c2b81-ed23-4761-b63d-35b1e3132b6b"/>
    <xsd:import namespace="fd7cb061-8761-4e9a-b7cd-bd259abf98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2c2b81-ed23-4761-b63d-35b1e3132b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7cb061-8761-4e9a-b7cd-bd259abf982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5001cf-d9fc-41c3-b71e-d4d32b4f96b4}" ma:internalName="TaxCatchAll" ma:showField="CatchAllData" ma:web="fd7cb061-8761-4e9a-b7cd-bd259abf98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2c2b81-ed23-4761-b63d-35b1e3132b6b">
      <Terms xmlns="http://schemas.microsoft.com/office/infopath/2007/PartnerControls"/>
    </lcf76f155ced4ddcb4097134ff3c332f>
    <TaxCatchAll xmlns="fd7cb061-8761-4e9a-b7cd-bd259abf982e" xsi:nil="true"/>
  </documentManagement>
</p:properties>
</file>

<file path=customXml/itemProps1.xml><?xml version="1.0" encoding="utf-8"?>
<ds:datastoreItem xmlns:ds="http://schemas.openxmlformats.org/officeDocument/2006/customXml" ds:itemID="{4915DB07-2FBA-4FF8-B2BA-E5260C9AA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2c2b81-ed23-4761-b63d-35b1e3132b6b"/>
    <ds:schemaRef ds:uri="fd7cb061-8761-4e9a-b7cd-bd259abf98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5C897C-6BC1-4288-A1AF-04DCCCB86025}">
  <ds:schemaRefs>
    <ds:schemaRef ds:uri="http://schemas.microsoft.com/sharepoint/v3/contenttype/forms"/>
  </ds:schemaRefs>
</ds:datastoreItem>
</file>

<file path=customXml/itemProps3.xml><?xml version="1.0" encoding="utf-8"?>
<ds:datastoreItem xmlns:ds="http://schemas.openxmlformats.org/officeDocument/2006/customXml" ds:itemID="{77C0103F-B865-465E-A0F3-6FE89E4A4C8C}">
  <ds:schemaRefs>
    <ds:schemaRef ds:uri="http://schemas.microsoft.com/office/2006/documentManagement/types"/>
    <ds:schemaRef ds:uri="http://purl.org/dc/elements/1.1/"/>
    <ds:schemaRef ds:uri="http://purl.org/dc/terms/"/>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fd7cb061-8761-4e9a-b7cd-bd259abf982e"/>
    <ds:schemaRef ds:uri="f32c2b81-ed23-4761-b63d-35b1e3132b6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Encoder-Track1</vt:lpstr>
      <vt:lpstr>VQ-Track1</vt:lpstr>
      <vt:lpstr>Decoder-Track1</vt:lpstr>
      <vt:lpstr>Summary-Track1</vt:lpstr>
      <vt:lpstr>Encoder-Track2</vt:lpstr>
      <vt:lpstr>VQ-Track2</vt:lpstr>
      <vt:lpstr>Decoder-Track2</vt:lpstr>
      <vt:lpstr>Summary-Track2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Yusuf Isık (yisik)</cp:lastModifiedBy>
  <cp:revision/>
  <dcterms:created xsi:type="dcterms:W3CDTF">2025-09-15T13:45:54Z</dcterms:created>
  <dcterms:modified xsi:type="dcterms:W3CDTF">2025-09-15T13:57:06Z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0x0101000C72954E29F0F34F80A3CEFFB9C6BBE6</vt:lpwstr>
  </property>
  <property fmtid="{D5CDD505-2E9C-101B-9397-08002B2CF9AE}" pid="3" name="MSIP_Label_c8f49a32-fde3-48a5-9266-b5b0972a22dc_Enabled">
    <vt:lpwstr>true</vt:lpwstr>
  </property>
  <property fmtid="{D5CDD505-2E9C-101B-9397-08002B2CF9AE}" pid="4" name="MSIP_Label_c8f49a32-fde3-48a5-9266-b5b0972a22dc_SetDate">
    <vt:lpwstr>2025-09-15T13:45:59Z</vt:lpwstr>
  </property>
  <property fmtid="{D5CDD505-2E9C-101B-9397-08002B2CF9AE}" pid="5" name="MSIP_Label_c8f49a32-fde3-48a5-9266-b5b0972a22dc_Method">
    <vt:lpwstr>Standard</vt:lpwstr>
  </property>
  <property fmtid="{D5CDD505-2E9C-101B-9397-08002B2CF9AE}" pid="6" name="MSIP_Label_c8f49a32-fde3-48a5-9266-b5b0972a22dc_Name">
    <vt:lpwstr>Cisco Confidential</vt:lpwstr>
  </property>
  <property fmtid="{D5CDD505-2E9C-101B-9397-08002B2CF9AE}" pid="7" name="MSIP_Label_c8f49a32-fde3-48a5-9266-b5b0972a22dc_SiteId">
    <vt:lpwstr>5ae1af62-9505-4097-a69a-c1553ef7840e</vt:lpwstr>
  </property>
  <property fmtid="{D5CDD505-2E9C-101B-9397-08002B2CF9AE}" pid="8" name="MSIP_Label_c8f49a32-fde3-48a5-9266-b5b0972a22dc_ActionId">
    <vt:lpwstr>0bb4fcd0-5468-40db-89ce-d9bd8c97ebb5</vt:lpwstr>
  </property>
  <property fmtid="{D5CDD505-2E9C-101B-9397-08002B2CF9AE}" pid="9" name="MSIP_Label_c8f49a32-fde3-48a5-9266-b5b0972a22dc_ContentBits">
    <vt:lpwstr>2</vt:lpwstr>
  </property>
  <property fmtid="{D5CDD505-2E9C-101B-9397-08002B2CF9AE}" pid="10" name="MSIP_Label_c8f49a32-fde3-48a5-9266-b5b0972a22dc_Tag">
    <vt:lpwstr>10, 3, 0, 2</vt:lpwstr>
  </property>
  <property fmtid="{D5CDD505-2E9C-101B-9397-08002B2CF9AE}" pid="11" name="MediaServiceImageTags">
    <vt:lpwstr/>
  </property>
</Properties>
</file>